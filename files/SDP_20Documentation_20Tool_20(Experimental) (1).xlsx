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bonvenido/Desktop/"/>
    </mc:Choice>
  </mc:AlternateContent>
  <xr:revisionPtr revIDLastSave="0" documentId="8_{4A19C468-3A1A-E645-BEE5-A8153BF16320}" xr6:coauthVersionLast="47" xr6:coauthVersionMax="47" xr10:uidLastSave="{00000000-0000-0000-0000-000000000000}"/>
  <bookViews>
    <workbookView xWindow="0" yWindow="500" windowWidth="28800" windowHeight="12440" xr2:uid="{00000000-000D-0000-FFFF-FFFF00000000}"/>
  </bookViews>
  <sheets>
    <sheet name="Guide" sheetId="2" r:id="rId1"/>
    <sheet name="R" sheetId="1" r:id="rId2"/>
    <sheet name="I" sheetId="3" r:id="rId3"/>
    <sheet name="S" sheetId="4" r:id="rId4"/>
    <sheet name="E" sheetId="5" r:id="rId5"/>
    <sheet name="N" sheetId="6" r:id="rId6"/>
    <sheet name="U" sheetId="7" r:id="rId7"/>
    <sheet name="P"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2" i="8" l="1"/>
  <c r="G14" i="8"/>
  <c r="G13" i="8"/>
  <c r="G11" i="8"/>
  <c r="G10" i="8"/>
  <c r="G8" i="8"/>
  <c r="G9" i="8"/>
  <c r="G7" i="8"/>
  <c r="G6" i="8"/>
  <c r="G5" i="8"/>
  <c r="G4" i="8"/>
  <c r="G9" i="7"/>
  <c r="G8" i="7"/>
  <c r="G7" i="7"/>
  <c r="G6" i="7"/>
  <c r="G4" i="7"/>
  <c r="G5" i="7"/>
  <c r="G13" i="6"/>
  <c r="G12" i="6"/>
  <c r="G10" i="6"/>
  <c r="G11" i="6"/>
  <c r="G9" i="6"/>
  <c r="G8" i="6"/>
  <c r="G7" i="6"/>
  <c r="G6" i="6"/>
  <c r="G5" i="6"/>
  <c r="G4" i="6"/>
  <c r="G13" i="5"/>
  <c r="G12" i="5"/>
  <c r="G10" i="5"/>
  <c r="G11" i="5"/>
  <c r="G9" i="5"/>
  <c r="G7" i="5"/>
  <c r="G8" i="5"/>
  <c r="G6" i="5"/>
  <c r="G5" i="5"/>
  <c r="G4" i="5"/>
  <c r="G13" i="4"/>
  <c r="G12" i="4"/>
  <c r="G10" i="4"/>
  <c r="G11" i="4"/>
  <c r="G9" i="4"/>
  <c r="G8" i="4"/>
  <c r="G6" i="4"/>
  <c r="G7" i="4"/>
  <c r="G5" i="4"/>
  <c r="G4" i="4"/>
  <c r="G31" i="3"/>
  <c r="G30" i="3"/>
  <c r="G29" i="3"/>
  <c r="G28" i="3"/>
  <c r="G27" i="3"/>
  <c r="G26" i="3"/>
  <c r="G25" i="3"/>
  <c r="G24" i="3"/>
  <c r="G23" i="3"/>
  <c r="G22" i="3"/>
  <c r="G21" i="3"/>
  <c r="G20" i="3"/>
  <c r="G19" i="3"/>
  <c r="G18" i="3"/>
  <c r="G17" i="3"/>
  <c r="G16" i="3"/>
  <c r="G13" i="3"/>
  <c r="G12" i="3"/>
  <c r="G11" i="3"/>
  <c r="G8" i="3"/>
  <c r="G7" i="3"/>
  <c r="G5" i="3"/>
  <c r="G10" i="3"/>
  <c r="G14" i="3"/>
  <c r="G15" i="3"/>
  <c r="G9" i="3"/>
  <c r="G6" i="3"/>
  <c r="G4" i="3"/>
  <c r="G20" i="1"/>
  <c r="G19" i="1"/>
  <c r="G18" i="1"/>
  <c r="G17" i="1"/>
  <c r="G16" i="1"/>
  <c r="G8" i="1"/>
  <c r="G9" i="1"/>
  <c r="G11" i="1"/>
  <c r="G12" i="1"/>
  <c r="G13" i="1"/>
  <c r="G14" i="1"/>
  <c r="G15" i="1"/>
  <c r="G5" i="1"/>
  <c r="G6" i="1"/>
  <c r="G7" i="1"/>
  <c r="G4" i="1"/>
</calcChain>
</file>

<file path=xl/sharedStrings.xml><?xml version="1.0" encoding="utf-8"?>
<sst xmlns="http://schemas.openxmlformats.org/spreadsheetml/2006/main" count="339" uniqueCount="190">
  <si>
    <t>RESEARCH, TECHNOLOGY AND INNOVATION</t>
  </si>
  <si>
    <t>5-YEAR STRATEGIC DEVELOPMENT PLAN CODING</t>
  </si>
  <si>
    <t>R1-01</t>
  </si>
  <si>
    <t>CODE</t>
  </si>
  <si>
    <t>BREAKDOWN</t>
  </si>
  <si>
    <t>R1</t>
  </si>
  <si>
    <t>DESCRIPTION</t>
  </si>
  <si>
    <t>7-POINT AGENDA</t>
  </si>
  <si>
    <t>Research, Technology and Innovation</t>
  </si>
  <si>
    <t>Sustainability of Good Governance</t>
  </si>
  <si>
    <t>Excellence in Academics and Services</t>
  </si>
  <si>
    <t>Novelty in Practices</t>
  </si>
  <si>
    <t>University Ranking and Recognition</t>
  </si>
  <si>
    <t>People</t>
  </si>
  <si>
    <t>Internationalization, Extension and Linkages</t>
  </si>
  <si>
    <t>OBJECTIVES</t>
  </si>
  <si>
    <t>KPIs</t>
  </si>
  <si>
    <t>U1-01</t>
  </si>
  <si>
    <t>R1-01 - R3-01</t>
  </si>
  <si>
    <t>I1-01 - I8-01</t>
  </si>
  <si>
    <t>S1-01 - S6-01</t>
  </si>
  <si>
    <t>E1-01 - E5-01</t>
  </si>
  <si>
    <t>N1-01 - N3-01</t>
  </si>
  <si>
    <t>P1-01 - P4-01</t>
  </si>
  <si>
    <r>
      <t>The alpha-numeric code refers to the specific point of the the institution's 7-point agenda (</t>
    </r>
    <r>
      <rPr>
        <b/>
        <sz val="11"/>
        <color theme="1"/>
        <rFont val="Calibri"/>
        <family val="2"/>
        <scheme val="minor"/>
      </rPr>
      <t>R</t>
    </r>
    <r>
      <rPr>
        <sz val="11"/>
        <color theme="1"/>
        <rFont val="Calibri"/>
        <family val="2"/>
        <scheme val="minor"/>
      </rPr>
      <t>), along with its respective objective (</t>
    </r>
    <r>
      <rPr>
        <b/>
        <sz val="11"/>
        <color theme="1"/>
        <rFont val="Calibri"/>
        <family val="2"/>
        <scheme val="minor"/>
      </rPr>
      <t>1</t>
    </r>
    <r>
      <rPr>
        <sz val="11"/>
        <color theme="1"/>
        <rFont val="Calibri"/>
        <family val="2"/>
        <scheme val="minor"/>
      </rPr>
      <t>) and its corresponding KPI (</t>
    </r>
    <r>
      <rPr>
        <b/>
        <sz val="11"/>
        <color theme="1"/>
        <rFont val="Calibri"/>
        <family val="2"/>
        <scheme val="minor"/>
      </rPr>
      <t>01</t>
    </r>
    <r>
      <rPr>
        <sz val="11"/>
        <color theme="1"/>
        <rFont val="Calibri"/>
        <family val="2"/>
        <scheme val="minor"/>
      </rPr>
      <t>). This also indicates as to how man KPIs are there in each objective under that specific point.</t>
    </r>
  </si>
  <si>
    <t>CODE (Range)</t>
  </si>
  <si>
    <t>TARGETS (2025-2029)</t>
  </si>
  <si>
    <t>ACCOMP. RATE</t>
  </si>
  <si>
    <t>MIN.</t>
  </si>
  <si>
    <t>MAX.</t>
  </si>
  <si>
    <t>ACCOMPLISHMENT</t>
  </si>
  <si>
    <t>KPI CODE</t>
  </si>
  <si>
    <t>01</t>
  </si>
  <si>
    <t>02</t>
  </si>
  <si>
    <t>03</t>
  </si>
  <si>
    <t>04</t>
  </si>
  <si>
    <t>Research collaborations (Local)</t>
  </si>
  <si>
    <t>Research collaborations (Intl.)</t>
  </si>
  <si>
    <t>Research fund util. rate</t>
  </si>
  <si>
    <t>Research labs/centers</t>
  </si>
  <si>
    <t>R2</t>
  </si>
  <si>
    <t>05</t>
  </si>
  <si>
    <t>Utilized (Comm.)</t>
  </si>
  <si>
    <t>Utilized (Non-comm.)</t>
  </si>
  <si>
    <t>Utilized (Not registered)</t>
  </si>
  <si>
    <t>Gender-responsive ext. programs (research-based)</t>
  </si>
  <si>
    <t>Citations (Local or Intl.)</t>
  </si>
  <si>
    <t>Plantilla faculty with awards received (Intl.)</t>
  </si>
  <si>
    <t>Plantilla faculty with awards received (Local )</t>
  </si>
  <si>
    <t>Plantilla faculty with at least 2 published research (Local or Intl.)</t>
  </si>
  <si>
    <t>R3</t>
  </si>
  <si>
    <t>Students with research outputs</t>
  </si>
  <si>
    <t>Students with research outputs presented (Local or Intl.)</t>
  </si>
  <si>
    <t>Students with research outputs presented in collaboration with faculty</t>
  </si>
  <si>
    <t>Students with technology development</t>
  </si>
  <si>
    <t>Students with technology development (With IPR cert.)</t>
  </si>
  <si>
    <t>INTERATIONALIZATION, EXTENSION AND LINKAGES</t>
  </si>
  <si>
    <t>I1</t>
  </si>
  <si>
    <t>06</t>
  </si>
  <si>
    <t>07</t>
  </si>
  <si>
    <t>08</t>
  </si>
  <si>
    <t>I2</t>
  </si>
  <si>
    <t>Member in a professional org. (Local)</t>
  </si>
  <si>
    <t>Member in a professional org. (Intl.)</t>
  </si>
  <si>
    <t>MOAs/MOUs signed (Local)</t>
  </si>
  <si>
    <t>MOAs/MOUs signed (Intl.)</t>
  </si>
  <si>
    <t>Enhanced exchange programs</t>
  </si>
  <si>
    <t>Faculty from foreign HEIs with academic role</t>
  </si>
  <si>
    <t>Full-time plantilla faculty engaged in exchange programs with acad. role of less than 1 month (Short-term)</t>
  </si>
  <si>
    <t>Full-time plantilla faculty engaged in exchange programs with acad. role of less than 1 month (Long-term)</t>
  </si>
  <si>
    <t>Outbound and inbound students participated in exchange programs (Short-term/Intl.)</t>
  </si>
  <si>
    <t>Outbound and inbound students participated in exchange programs (Long-term/Intl.)</t>
  </si>
  <si>
    <t>Collaborative programs with international partners</t>
  </si>
  <si>
    <t>I3</t>
  </si>
  <si>
    <t xml:space="preserve">Academic degrees developed </t>
  </si>
  <si>
    <t>Bureau of immigration accreditation</t>
  </si>
  <si>
    <t>Evaluated</t>
  </si>
  <si>
    <t>Accredited</t>
  </si>
  <si>
    <t>I4</t>
  </si>
  <si>
    <t>Approved programs with external funding</t>
  </si>
  <si>
    <t>I5</t>
  </si>
  <si>
    <t>Extension funds util. rate (util.)</t>
  </si>
  <si>
    <t>Income and grants util. rate (util.)</t>
  </si>
  <si>
    <t>I6</t>
  </si>
  <si>
    <t>Plantilla faculty involved in ESCE</t>
  </si>
  <si>
    <t>Students enrolled in ESCE</t>
  </si>
  <si>
    <t>I7</t>
  </si>
  <si>
    <t>Extension activities conducted</t>
  </si>
  <si>
    <t>Extension activities conducted per year (Alt.)</t>
  </si>
  <si>
    <t>I8</t>
  </si>
  <si>
    <t>Tech. adopted or comm.</t>
  </si>
  <si>
    <t>Legislation passed and approved (For tech.)</t>
  </si>
  <si>
    <t>Beneficiaries of ext. services</t>
  </si>
  <si>
    <t>MSMEs</t>
  </si>
  <si>
    <t>Impac assessment on ext. programs</t>
  </si>
  <si>
    <t>Public service programs awards</t>
  </si>
  <si>
    <t>Program with IGPs (per college)</t>
  </si>
  <si>
    <t>IGP income generated per year (in Millions)</t>
  </si>
  <si>
    <t>SUSTAINABILITY OF GOOD GOVERNANCE</t>
  </si>
  <si>
    <t>S1</t>
  </si>
  <si>
    <t>Policy creation/Manual updating</t>
  </si>
  <si>
    <t>S2</t>
  </si>
  <si>
    <t>Submission timeliness (LCP/SASP)</t>
  </si>
  <si>
    <t>Reviewed</t>
  </si>
  <si>
    <t>Established</t>
  </si>
  <si>
    <t>S3</t>
  </si>
  <si>
    <t>S4</t>
  </si>
  <si>
    <t>Prime HRM</t>
  </si>
  <si>
    <t>Approved</t>
  </si>
  <si>
    <t>Level-3</t>
  </si>
  <si>
    <t>Level-4</t>
  </si>
  <si>
    <t>S5</t>
  </si>
  <si>
    <t>PPE/Supply audit</t>
  </si>
  <si>
    <t>Establishment of operations manual (R&amp;D)</t>
  </si>
  <si>
    <t>Establishment of operations manual (Records mgmt.)</t>
  </si>
  <si>
    <t>No findings</t>
  </si>
  <si>
    <t>S6</t>
  </si>
  <si>
    <t>Inst. funds util. rate</t>
  </si>
  <si>
    <t>PBB compliance</t>
  </si>
  <si>
    <t>Smart campus development</t>
  </si>
  <si>
    <t>Green campus development</t>
  </si>
  <si>
    <t>Eligible</t>
  </si>
  <si>
    <t>EXCELLENCE IN ACADEMICS AND SERVICES</t>
  </si>
  <si>
    <t>E1</t>
  </si>
  <si>
    <t>Enrollment percentage over carrying capacity</t>
  </si>
  <si>
    <t>E2</t>
  </si>
  <si>
    <t>Percentage of program offerings with COPC (All campuses)</t>
  </si>
  <si>
    <t>E3</t>
  </si>
  <si>
    <t>Program accreditations (Intl.)</t>
  </si>
  <si>
    <t>Grad-school programs with vertical articulation</t>
  </si>
  <si>
    <t>Program accreditations with COD (Local)</t>
  </si>
  <si>
    <t>Program accreditations Level IV (Local)</t>
  </si>
  <si>
    <t>E4</t>
  </si>
  <si>
    <t>Percentage of graduates per program</t>
  </si>
  <si>
    <t>Percentage of LE passing rate (Higher than Nat'l. rate)</t>
  </si>
  <si>
    <t>E5</t>
  </si>
  <si>
    <t>Percentage of plantilla faculty with prof. cert. (Local or Int'l.)</t>
  </si>
  <si>
    <t>Percentage of undergrad students with prof. cert. (Local or Int'l.)</t>
  </si>
  <si>
    <t>NOVELTY IN PRACTICES</t>
  </si>
  <si>
    <t>N1</t>
  </si>
  <si>
    <t>New practices through seminars and trainings (per unit/office/college/program per year</t>
  </si>
  <si>
    <t>Personnel with Future's Thinking training</t>
  </si>
  <si>
    <t>ETEEAP and TESDA accreditation</t>
  </si>
  <si>
    <t>Qualified</t>
  </si>
  <si>
    <t>Added</t>
  </si>
  <si>
    <t xml:space="preserve">(X) no. of programs </t>
  </si>
  <si>
    <t>Programs that support for arts and creative works</t>
  </si>
  <si>
    <t>N2</t>
  </si>
  <si>
    <t>Integration of CC and DRRM policies and tech.</t>
  </si>
  <si>
    <t xml:space="preserve">(X) no. of policies/tech. </t>
  </si>
  <si>
    <t>Learning facilities enhanced</t>
  </si>
  <si>
    <t xml:space="preserve">(X) no. of facilities </t>
  </si>
  <si>
    <t>Smart agri. tools developed</t>
  </si>
  <si>
    <t>Alternative methods in comm. ext.</t>
  </si>
  <si>
    <t xml:space="preserve">(X) no. of tools </t>
  </si>
  <si>
    <t xml:space="preserve">(X) no. of alternative methods </t>
  </si>
  <si>
    <t>UNIVERSITY RANKING AND RECOGNITION</t>
  </si>
  <si>
    <t>U1</t>
  </si>
  <si>
    <t>Establishment of data collection system</t>
  </si>
  <si>
    <t>Digitization of documents</t>
  </si>
  <si>
    <t>Under-development</t>
  </si>
  <si>
    <t>Enhanced</t>
  </si>
  <si>
    <t>N3</t>
  </si>
  <si>
    <t>Qualification for Int'l. recognitions</t>
  </si>
  <si>
    <t>ISO maintained</t>
  </si>
  <si>
    <t>QS 3-Stars</t>
  </si>
  <si>
    <t>Rank 201-300 in WURI</t>
  </si>
  <si>
    <t>Qualification for local recognitions</t>
  </si>
  <si>
    <t>PQA Level 2</t>
  </si>
  <si>
    <t>2.75 ISA</t>
  </si>
  <si>
    <t>AACUP Level 2</t>
  </si>
  <si>
    <t>PEOPLE</t>
  </si>
  <si>
    <t>P1</t>
  </si>
  <si>
    <t>Academic grant</t>
  </si>
  <si>
    <t>Percentage of grantees for scholarship</t>
  </si>
  <si>
    <t>Non-academic grant</t>
  </si>
  <si>
    <t>Percentage of grantees for non-academic scholarship</t>
  </si>
  <si>
    <t>P2</t>
  </si>
  <si>
    <t>P3</t>
  </si>
  <si>
    <t>Creation of inclusivity manual</t>
  </si>
  <si>
    <t>Implemented</t>
  </si>
  <si>
    <t>Percentage of plantilla faculty with PhD.</t>
  </si>
  <si>
    <t>Percentage of plantilla faculty with post-master's cert.</t>
  </si>
  <si>
    <t>Percentage of plantilla faculty who completed a training program (Local or Int'l.)</t>
  </si>
  <si>
    <t>P4</t>
  </si>
  <si>
    <t>Establishment of structure and policies</t>
  </si>
  <si>
    <t>Percentage of students, faculty and staff given opportunities for recreation</t>
  </si>
  <si>
    <t>Provision of healthcare services</t>
  </si>
  <si>
    <t>NOTE:</t>
  </si>
  <si>
    <r>
      <t>Input should be allocated to the "</t>
    </r>
    <r>
      <rPr>
        <b/>
        <i/>
        <sz val="11"/>
        <color theme="1"/>
        <rFont val="Calibri"/>
        <family val="2"/>
        <scheme val="minor"/>
      </rPr>
      <t>Accomplishment</t>
    </r>
    <r>
      <rPr>
        <sz val="11"/>
        <color theme="1"/>
        <rFont val="Calibri"/>
        <family val="2"/>
        <scheme val="minor"/>
      </rPr>
      <t xml:space="preserve">" column in order to identify the corresponding accomplishment rate during the rating period. This will be identified by the planning office and shall be cascaded to the respective units for input, along with there corresponding documentary evidences for verification. Note that this is experimental and formulas for identifying each accomplishment rate shall be subject for review and editing.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</si>
</sst>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horizontal="left" vertical="center" wrapText="1"/>
    </xf>
    <xf numFmtId="49" fontId="0" fillId="0" borderId="1" xfId="0" applyNumberFormat="1" applyBorder="1" applyAlignment="1">
      <alignment horizontal="center" vertical="center"/>
    </xf>
    <xf numFmtId="9" fontId="1" fillId="0" borderId="1" xfId="1" applyFont="1" applyBorder="1" applyAlignment="1">
      <alignment horizontal="center" vertical="center"/>
    </xf>
    <xf numFmtId="9" fontId="0" fillId="0" borderId="1" xfId="0" applyNumberFormat="1" applyBorder="1" applyAlignment="1">
      <alignment horizontal="center" vertical="center"/>
    </xf>
    <xf numFmtId="0" fontId="0" fillId="0" borderId="2" xfId="0" applyBorder="1" applyAlignment="1">
      <alignment horizontal="center" vertical="center"/>
    </xf>
    <xf numFmtId="49" fontId="0" fillId="0" borderId="5" xfId="0" applyNumberFormat="1" applyBorder="1" applyAlignment="1">
      <alignment horizontal="center" vertical="center"/>
    </xf>
    <xf numFmtId="0" fontId="0" fillId="0" borderId="1" xfId="0" applyBorder="1" applyAlignment="1">
      <alignment horizontal="left" vertical="center" wrapText="1"/>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5" xfId="0" applyFont="1" applyBorder="1" applyAlignment="1">
      <alignment horizontal="left" vertical="center"/>
    </xf>
    <xf numFmtId="0" fontId="2" fillId="0" borderId="1" xfId="0" applyFont="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49" fontId="0" fillId="0" borderId="2" xfId="0" applyNumberFormat="1" applyBorder="1" applyAlignment="1">
      <alignment horizontal="center" vertical="center"/>
    </xf>
    <xf numFmtId="49" fontId="0" fillId="0" borderId="4"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49" fontId="0" fillId="0" borderId="3" xfId="0" applyNumberForma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workbookViewId="0">
      <selection activeCell="I15" sqref="I15"/>
    </sheetView>
  </sheetViews>
  <sheetFormatPr baseColWidth="10" defaultColWidth="9.1640625" defaultRowHeight="15" x14ac:dyDescent="0.2"/>
  <cols>
    <col min="1" max="1" width="41" style="1" bestFit="1" customWidth="1"/>
    <col min="2" max="2" width="23.6640625" style="1" bestFit="1" customWidth="1"/>
    <col min="3" max="3" width="9.1640625" style="1"/>
    <col min="4" max="4" width="13.33203125" style="1" bestFit="1" customWidth="1"/>
    <col min="5" max="16384" width="9.1640625" style="1"/>
  </cols>
  <sheetData>
    <row r="1" spans="1:4" x14ac:dyDescent="0.2">
      <c r="A1" s="19" t="s">
        <v>1</v>
      </c>
      <c r="B1" s="19"/>
      <c r="C1" s="19"/>
      <c r="D1" s="19"/>
    </row>
    <row r="2" spans="1:4" x14ac:dyDescent="0.2">
      <c r="A2" s="5" t="s">
        <v>3</v>
      </c>
      <c r="B2" s="19" t="s">
        <v>6</v>
      </c>
      <c r="C2" s="19"/>
      <c r="D2" s="19"/>
    </row>
    <row r="3" spans="1:4" ht="120" customHeight="1" x14ac:dyDescent="0.2">
      <c r="A3" s="5" t="s">
        <v>2</v>
      </c>
      <c r="B3" s="15" t="s">
        <v>24</v>
      </c>
      <c r="C3" s="15"/>
      <c r="D3" s="15"/>
    </row>
    <row r="5" spans="1:4" x14ac:dyDescent="0.2">
      <c r="A5" s="5" t="s">
        <v>7</v>
      </c>
      <c r="B5" s="5" t="s">
        <v>15</v>
      </c>
      <c r="C5" s="5" t="s">
        <v>16</v>
      </c>
      <c r="D5" s="5" t="s">
        <v>25</v>
      </c>
    </row>
    <row r="6" spans="1:4" x14ac:dyDescent="0.2">
      <c r="A6" s="7" t="s">
        <v>8</v>
      </c>
      <c r="B6" s="8">
        <v>3</v>
      </c>
      <c r="C6" s="8">
        <v>14</v>
      </c>
      <c r="D6" s="8" t="s">
        <v>18</v>
      </c>
    </row>
    <row r="7" spans="1:4" x14ac:dyDescent="0.2">
      <c r="A7" s="7" t="s">
        <v>14</v>
      </c>
      <c r="B7" s="8">
        <v>8</v>
      </c>
      <c r="C7" s="8">
        <v>23</v>
      </c>
      <c r="D7" s="8" t="s">
        <v>19</v>
      </c>
    </row>
    <row r="8" spans="1:4" x14ac:dyDescent="0.2">
      <c r="A8" s="7" t="s">
        <v>9</v>
      </c>
      <c r="B8" s="8">
        <v>6</v>
      </c>
      <c r="C8" s="8">
        <v>10</v>
      </c>
      <c r="D8" s="8" t="s">
        <v>20</v>
      </c>
    </row>
    <row r="9" spans="1:4" x14ac:dyDescent="0.2">
      <c r="A9" s="7" t="s">
        <v>10</v>
      </c>
      <c r="B9" s="8">
        <v>5</v>
      </c>
      <c r="C9" s="8">
        <v>9</v>
      </c>
      <c r="D9" s="8" t="s">
        <v>21</v>
      </c>
    </row>
    <row r="10" spans="1:4" x14ac:dyDescent="0.2">
      <c r="A10" s="7" t="s">
        <v>11</v>
      </c>
      <c r="B10" s="8">
        <v>3</v>
      </c>
      <c r="C10" s="8">
        <v>10</v>
      </c>
      <c r="D10" s="8" t="s">
        <v>22</v>
      </c>
    </row>
    <row r="11" spans="1:4" x14ac:dyDescent="0.2">
      <c r="A11" s="7" t="s">
        <v>12</v>
      </c>
      <c r="B11" s="8">
        <v>1</v>
      </c>
      <c r="C11" s="8">
        <v>2</v>
      </c>
      <c r="D11" s="8" t="s">
        <v>17</v>
      </c>
    </row>
    <row r="12" spans="1:4" x14ac:dyDescent="0.2">
      <c r="A12" s="7" t="s">
        <v>13</v>
      </c>
      <c r="B12" s="8">
        <v>4</v>
      </c>
      <c r="C12" s="8">
        <v>11</v>
      </c>
      <c r="D12" s="8" t="s">
        <v>23</v>
      </c>
    </row>
    <row r="14" spans="1:4" x14ac:dyDescent="0.2">
      <c r="A14" s="16" t="s">
        <v>188</v>
      </c>
      <c r="B14" s="17"/>
      <c r="C14" s="17"/>
      <c r="D14" s="18"/>
    </row>
    <row r="15" spans="1:4" ht="120" customHeight="1" x14ac:dyDescent="0.2">
      <c r="A15" s="15" t="s">
        <v>189</v>
      </c>
      <c r="B15" s="15"/>
      <c r="C15" s="15"/>
      <c r="D15" s="15"/>
    </row>
  </sheetData>
  <mergeCells count="5">
    <mergeCell ref="A15:D15"/>
    <mergeCell ref="A14:D14"/>
    <mergeCell ref="B2:D2"/>
    <mergeCell ref="B3:D3"/>
    <mergeCell ref="A1:D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zoomScaleNormal="100" workbookViewId="0">
      <selection activeCell="E10" sqref="E10"/>
    </sheetView>
  </sheetViews>
  <sheetFormatPr baseColWidth="10" defaultColWidth="9.1640625" defaultRowHeight="15" x14ac:dyDescent="0.2"/>
  <cols>
    <col min="1" max="1" width="12.83203125" style="2" bestFit="1" customWidth="1"/>
    <col min="2" max="2" width="9.1640625" style="2" bestFit="1" customWidth="1"/>
    <col min="3" max="3" width="28.83203125" style="9" bestFit="1" customWidth="1"/>
    <col min="4" max="5" width="19.6640625" style="2" bestFit="1" customWidth="1"/>
    <col min="6" max="6" width="19.6640625" style="1" customWidth="1"/>
    <col min="7" max="7" width="14.5" style="1" bestFit="1" customWidth="1"/>
    <col min="8" max="16384" width="9.1640625" style="3"/>
  </cols>
  <sheetData>
    <row r="1" spans="1:8" x14ac:dyDescent="0.2">
      <c r="A1" s="19" t="s">
        <v>0</v>
      </c>
      <c r="B1" s="19"/>
      <c r="C1" s="19"/>
      <c r="D1" s="19"/>
      <c r="E1" s="19"/>
      <c r="F1" s="19"/>
      <c r="G1" s="19"/>
    </row>
    <row r="2" spans="1:8" s="4" customFormat="1" x14ac:dyDescent="0.2">
      <c r="A2" s="19" t="s">
        <v>4</v>
      </c>
      <c r="B2" s="19" t="s">
        <v>31</v>
      </c>
      <c r="C2" s="19" t="s">
        <v>6</v>
      </c>
      <c r="D2" s="19" t="s">
        <v>26</v>
      </c>
      <c r="E2" s="19"/>
      <c r="F2" s="19" t="s">
        <v>30</v>
      </c>
      <c r="G2" s="19" t="s">
        <v>27</v>
      </c>
      <c r="H2" s="2"/>
    </row>
    <row r="3" spans="1:8" x14ac:dyDescent="0.2">
      <c r="A3" s="19"/>
      <c r="B3" s="19"/>
      <c r="C3" s="19"/>
      <c r="D3" s="5" t="s">
        <v>28</v>
      </c>
      <c r="E3" s="5" t="s">
        <v>29</v>
      </c>
      <c r="F3" s="19"/>
      <c r="G3" s="19"/>
      <c r="H3" s="1"/>
    </row>
    <row r="4" spans="1:8" ht="16" x14ac:dyDescent="0.2">
      <c r="A4" s="20" t="s">
        <v>5</v>
      </c>
      <c r="B4" s="10" t="s">
        <v>32</v>
      </c>
      <c r="C4" s="6" t="s">
        <v>36</v>
      </c>
      <c r="D4" s="8">
        <v>7</v>
      </c>
      <c r="E4" s="8">
        <v>9</v>
      </c>
      <c r="F4" s="8"/>
      <c r="G4" s="11">
        <f>F4/E4</f>
        <v>0</v>
      </c>
    </row>
    <row r="5" spans="1:8" ht="16" x14ac:dyDescent="0.2">
      <c r="A5" s="20"/>
      <c r="B5" s="10" t="s">
        <v>33</v>
      </c>
      <c r="C5" s="6" t="s">
        <v>37</v>
      </c>
      <c r="D5" s="8">
        <v>1</v>
      </c>
      <c r="E5" s="8">
        <v>2</v>
      </c>
      <c r="F5" s="8"/>
      <c r="G5" s="11">
        <f t="shared" ref="G5:G15" si="0">F5/E5</f>
        <v>0</v>
      </c>
    </row>
    <row r="6" spans="1:8" ht="16" x14ac:dyDescent="0.2">
      <c r="A6" s="20"/>
      <c r="B6" s="10" t="s">
        <v>34</v>
      </c>
      <c r="C6" s="6" t="s">
        <v>38</v>
      </c>
      <c r="D6" s="12">
        <v>0.96</v>
      </c>
      <c r="E6" s="12">
        <v>1</v>
      </c>
      <c r="F6" s="8"/>
      <c r="G6" s="11">
        <f t="shared" si="0"/>
        <v>0</v>
      </c>
    </row>
    <row r="7" spans="1:8" ht="16" x14ac:dyDescent="0.2">
      <c r="A7" s="20"/>
      <c r="B7" s="10" t="s">
        <v>35</v>
      </c>
      <c r="C7" s="6" t="s">
        <v>39</v>
      </c>
      <c r="D7" s="8">
        <v>1</v>
      </c>
      <c r="E7" s="8">
        <v>2</v>
      </c>
      <c r="F7" s="8"/>
      <c r="G7" s="11">
        <f t="shared" si="0"/>
        <v>0</v>
      </c>
    </row>
    <row r="8" spans="1:8" ht="32" x14ac:dyDescent="0.2">
      <c r="A8" s="20" t="s">
        <v>40</v>
      </c>
      <c r="B8" s="10" t="s">
        <v>32</v>
      </c>
      <c r="C8" s="6" t="s">
        <v>49</v>
      </c>
      <c r="D8" s="12">
        <v>0.4</v>
      </c>
      <c r="E8" s="12">
        <v>0.4</v>
      </c>
      <c r="F8" s="8"/>
      <c r="G8" s="11">
        <f t="shared" si="0"/>
        <v>0</v>
      </c>
    </row>
    <row r="9" spans="1:8" ht="32" x14ac:dyDescent="0.2">
      <c r="A9" s="20"/>
      <c r="B9" s="21" t="s">
        <v>33</v>
      </c>
      <c r="C9" s="6" t="s">
        <v>48</v>
      </c>
      <c r="D9" s="8">
        <v>3</v>
      </c>
      <c r="E9" s="8">
        <v>5</v>
      </c>
      <c r="F9" s="8"/>
      <c r="G9" s="11">
        <f t="shared" si="0"/>
        <v>0</v>
      </c>
    </row>
    <row r="10" spans="1:8" ht="32" x14ac:dyDescent="0.2">
      <c r="A10" s="20"/>
      <c r="B10" s="21"/>
      <c r="C10" s="6" t="s">
        <v>47</v>
      </c>
      <c r="D10" s="8">
        <v>2</v>
      </c>
      <c r="E10" s="8">
        <v>3</v>
      </c>
      <c r="F10" s="8"/>
      <c r="G10" s="11"/>
    </row>
    <row r="11" spans="1:8" ht="32" x14ac:dyDescent="0.2">
      <c r="A11" s="20"/>
      <c r="B11" s="10" t="s">
        <v>34</v>
      </c>
      <c r="C11" s="6" t="s">
        <v>45</v>
      </c>
      <c r="D11" s="8">
        <v>3</v>
      </c>
      <c r="E11" s="8">
        <v>4</v>
      </c>
      <c r="F11" s="8"/>
      <c r="G11" s="11">
        <f t="shared" si="0"/>
        <v>0</v>
      </c>
    </row>
    <row r="12" spans="1:8" ht="16" x14ac:dyDescent="0.2">
      <c r="A12" s="20"/>
      <c r="B12" s="21" t="s">
        <v>35</v>
      </c>
      <c r="C12" s="6" t="s">
        <v>42</v>
      </c>
      <c r="D12" s="8">
        <v>8</v>
      </c>
      <c r="E12" s="8">
        <v>12</v>
      </c>
      <c r="F12" s="8"/>
      <c r="G12" s="11">
        <f t="shared" si="0"/>
        <v>0</v>
      </c>
    </row>
    <row r="13" spans="1:8" ht="16" x14ac:dyDescent="0.2">
      <c r="A13" s="20"/>
      <c r="B13" s="21"/>
      <c r="C13" s="6" t="s">
        <v>43</v>
      </c>
      <c r="D13" s="8">
        <v>8</v>
      </c>
      <c r="E13" s="8">
        <v>12</v>
      </c>
      <c r="F13" s="8"/>
      <c r="G13" s="11">
        <f t="shared" si="0"/>
        <v>0</v>
      </c>
    </row>
    <row r="14" spans="1:8" ht="16" x14ac:dyDescent="0.2">
      <c r="A14" s="20"/>
      <c r="B14" s="21"/>
      <c r="C14" s="6" t="s">
        <v>44</v>
      </c>
      <c r="D14" s="8">
        <v>35</v>
      </c>
      <c r="E14" s="8">
        <v>50</v>
      </c>
      <c r="F14" s="8"/>
      <c r="G14" s="11">
        <f t="shared" si="0"/>
        <v>0</v>
      </c>
    </row>
    <row r="15" spans="1:8" ht="16" x14ac:dyDescent="0.2">
      <c r="A15" s="20"/>
      <c r="B15" s="10" t="s">
        <v>41</v>
      </c>
      <c r="C15" s="6" t="s">
        <v>46</v>
      </c>
      <c r="D15" s="8">
        <v>200</v>
      </c>
      <c r="E15" s="8">
        <v>400</v>
      </c>
      <c r="F15" s="8"/>
      <c r="G15" s="11">
        <f t="shared" si="0"/>
        <v>0</v>
      </c>
    </row>
    <row r="16" spans="1:8" ht="16" x14ac:dyDescent="0.2">
      <c r="A16" s="20" t="s">
        <v>50</v>
      </c>
      <c r="B16" s="10" t="s">
        <v>32</v>
      </c>
      <c r="C16" s="6" t="s">
        <v>51</v>
      </c>
      <c r="D16" s="12">
        <v>0.1</v>
      </c>
      <c r="E16" s="12">
        <v>0.1</v>
      </c>
      <c r="F16" s="8"/>
      <c r="G16" s="11">
        <f t="shared" ref="G16" si="1">F16/E16</f>
        <v>0</v>
      </c>
    </row>
    <row r="17" spans="1:7" ht="32" x14ac:dyDescent="0.2">
      <c r="A17" s="20"/>
      <c r="B17" s="10" t="s">
        <v>33</v>
      </c>
      <c r="C17" s="6" t="s">
        <v>52</v>
      </c>
      <c r="D17" s="12">
        <v>0.05</v>
      </c>
      <c r="E17" s="12">
        <v>0.05</v>
      </c>
      <c r="F17" s="8"/>
      <c r="G17" s="11">
        <f t="shared" ref="G17" si="2">F17/E17</f>
        <v>0</v>
      </c>
    </row>
    <row r="18" spans="1:7" ht="48" x14ac:dyDescent="0.2">
      <c r="A18" s="20"/>
      <c r="B18" s="10" t="s">
        <v>34</v>
      </c>
      <c r="C18" s="6" t="s">
        <v>53</v>
      </c>
      <c r="D18" s="12">
        <v>0.01</v>
      </c>
      <c r="E18" s="12">
        <v>0.01</v>
      </c>
      <c r="F18" s="8"/>
      <c r="G18" s="11">
        <f t="shared" ref="G18" si="3">F18/E18</f>
        <v>0</v>
      </c>
    </row>
    <row r="19" spans="1:7" ht="32" x14ac:dyDescent="0.2">
      <c r="A19" s="20"/>
      <c r="B19" s="10" t="s">
        <v>35</v>
      </c>
      <c r="C19" s="6" t="s">
        <v>54</v>
      </c>
      <c r="D19" s="12">
        <v>0.01</v>
      </c>
      <c r="E19" s="12">
        <v>0.01</v>
      </c>
      <c r="F19" s="8"/>
      <c r="G19" s="11">
        <f t="shared" ref="G19" si="4">F19/E19</f>
        <v>0</v>
      </c>
    </row>
    <row r="20" spans="1:7" ht="32" x14ac:dyDescent="0.2">
      <c r="A20" s="20"/>
      <c r="B20" s="10" t="s">
        <v>41</v>
      </c>
      <c r="C20" s="6" t="s">
        <v>55</v>
      </c>
      <c r="D20" s="12">
        <v>0.01</v>
      </c>
      <c r="E20" s="12">
        <v>0.01</v>
      </c>
      <c r="F20" s="8"/>
      <c r="G20" s="11">
        <f t="shared" ref="G20" si="5">F20/E20</f>
        <v>0</v>
      </c>
    </row>
  </sheetData>
  <mergeCells count="12">
    <mergeCell ref="A1:G1"/>
    <mergeCell ref="D2:E2"/>
    <mergeCell ref="A2:A3"/>
    <mergeCell ref="C2:C3"/>
    <mergeCell ref="G2:G3"/>
    <mergeCell ref="F2:F3"/>
    <mergeCell ref="B2:B3"/>
    <mergeCell ref="A4:A7"/>
    <mergeCell ref="B12:B14"/>
    <mergeCell ref="B9:B10"/>
    <mergeCell ref="A8:A15"/>
    <mergeCell ref="A16:A20"/>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zoomScaleNormal="100" workbookViewId="0">
      <selection activeCell="H4" sqref="H4"/>
    </sheetView>
  </sheetViews>
  <sheetFormatPr baseColWidth="10" defaultColWidth="9.1640625" defaultRowHeight="15" x14ac:dyDescent="0.2"/>
  <cols>
    <col min="1" max="1" width="12.83203125" style="2" bestFit="1" customWidth="1"/>
    <col min="2" max="2" width="9.1640625" style="2" bestFit="1" customWidth="1"/>
    <col min="3" max="3" width="28.83203125" style="9" bestFit="1" customWidth="1"/>
    <col min="4" max="5" width="19.6640625" style="2" bestFit="1" customWidth="1"/>
    <col min="6" max="6" width="19.6640625" style="1" customWidth="1"/>
    <col min="7" max="7" width="14.5" style="1" bestFit="1" customWidth="1"/>
    <col min="8" max="16384" width="9.1640625" style="3"/>
  </cols>
  <sheetData>
    <row r="1" spans="1:8" x14ac:dyDescent="0.2">
      <c r="A1" s="19" t="s">
        <v>56</v>
      </c>
      <c r="B1" s="19"/>
      <c r="C1" s="19"/>
      <c r="D1" s="19"/>
      <c r="E1" s="19"/>
      <c r="F1" s="19"/>
      <c r="G1" s="19"/>
    </row>
    <row r="2" spans="1:8" s="4" customFormat="1" x14ac:dyDescent="0.2">
      <c r="A2" s="19" t="s">
        <v>4</v>
      </c>
      <c r="B2" s="19" t="s">
        <v>31</v>
      </c>
      <c r="C2" s="19" t="s">
        <v>6</v>
      </c>
      <c r="D2" s="19" t="s">
        <v>26</v>
      </c>
      <c r="E2" s="19"/>
      <c r="F2" s="19" t="s">
        <v>30</v>
      </c>
      <c r="G2" s="19" t="s">
        <v>27</v>
      </c>
      <c r="H2" s="2"/>
    </row>
    <row r="3" spans="1:8" x14ac:dyDescent="0.2">
      <c r="A3" s="19"/>
      <c r="B3" s="19"/>
      <c r="C3" s="19"/>
      <c r="D3" s="5" t="s">
        <v>28</v>
      </c>
      <c r="E3" s="5" t="s">
        <v>29</v>
      </c>
      <c r="F3" s="19"/>
      <c r="G3" s="19"/>
      <c r="H3" s="1"/>
    </row>
    <row r="4" spans="1:8" ht="32" x14ac:dyDescent="0.2">
      <c r="A4" s="24" t="s">
        <v>57</v>
      </c>
      <c r="B4" s="22" t="s">
        <v>32</v>
      </c>
      <c r="C4" s="6" t="s">
        <v>62</v>
      </c>
      <c r="D4" s="8">
        <v>1</v>
      </c>
      <c r="E4" s="8">
        <v>2</v>
      </c>
      <c r="F4" s="8"/>
      <c r="G4" s="11">
        <f>F4/E4</f>
        <v>0</v>
      </c>
    </row>
    <row r="5" spans="1:8" ht="16" x14ac:dyDescent="0.2">
      <c r="A5" s="25"/>
      <c r="B5" s="23"/>
      <c r="C5" s="6" t="s">
        <v>63</v>
      </c>
      <c r="D5" s="8">
        <v>1</v>
      </c>
      <c r="E5" s="8">
        <v>2</v>
      </c>
      <c r="F5" s="8"/>
      <c r="G5" s="11">
        <f t="shared" ref="G5" si="0">F5/E5</f>
        <v>0</v>
      </c>
    </row>
    <row r="6" spans="1:8" ht="16" x14ac:dyDescent="0.2">
      <c r="A6" s="25"/>
      <c r="B6" s="22" t="s">
        <v>33</v>
      </c>
      <c r="C6" s="6" t="s">
        <v>64</v>
      </c>
      <c r="D6" s="8">
        <v>8</v>
      </c>
      <c r="E6" s="8">
        <v>10</v>
      </c>
      <c r="F6" s="8"/>
      <c r="G6" s="11">
        <f t="shared" ref="G6:G9" si="1">F6/E6</f>
        <v>0</v>
      </c>
    </row>
    <row r="7" spans="1:8" ht="16" x14ac:dyDescent="0.2">
      <c r="A7" s="25"/>
      <c r="B7" s="23"/>
      <c r="C7" s="6" t="s">
        <v>65</v>
      </c>
      <c r="D7" s="8">
        <v>2</v>
      </c>
      <c r="E7" s="8">
        <v>3</v>
      </c>
      <c r="F7" s="8"/>
      <c r="G7" s="11">
        <f t="shared" ref="G7" si="2">F7/E7</f>
        <v>0</v>
      </c>
    </row>
    <row r="8" spans="1:8" ht="16" x14ac:dyDescent="0.2">
      <c r="A8" s="20" t="s">
        <v>61</v>
      </c>
      <c r="B8" s="10" t="s">
        <v>32</v>
      </c>
      <c r="C8" s="6" t="s">
        <v>66</v>
      </c>
      <c r="D8" s="8">
        <v>1</v>
      </c>
      <c r="E8" s="8">
        <v>2</v>
      </c>
      <c r="F8" s="8"/>
      <c r="G8" s="11">
        <f t="shared" ref="G8" si="3">F8/E8</f>
        <v>0</v>
      </c>
    </row>
    <row r="9" spans="1:8" ht="32" x14ac:dyDescent="0.2">
      <c r="A9" s="20"/>
      <c r="B9" s="10" t="s">
        <v>33</v>
      </c>
      <c r="C9" s="6" t="s">
        <v>67</v>
      </c>
      <c r="D9" s="8">
        <v>8</v>
      </c>
      <c r="E9" s="8">
        <v>12</v>
      </c>
      <c r="F9" s="8"/>
      <c r="G9" s="11">
        <f t="shared" si="1"/>
        <v>0</v>
      </c>
    </row>
    <row r="10" spans="1:8" ht="64" x14ac:dyDescent="0.2">
      <c r="A10" s="20"/>
      <c r="B10" s="22" t="s">
        <v>34</v>
      </c>
      <c r="C10" s="6" t="s">
        <v>68</v>
      </c>
      <c r="D10" s="12">
        <v>0.06</v>
      </c>
      <c r="E10" s="12">
        <v>7.0000000000000007E-2</v>
      </c>
      <c r="F10" s="8"/>
      <c r="G10" s="11">
        <f t="shared" ref="G10:G15" si="4">F10/E10</f>
        <v>0</v>
      </c>
    </row>
    <row r="11" spans="1:8" ht="64" x14ac:dyDescent="0.2">
      <c r="A11" s="20"/>
      <c r="B11" s="23"/>
      <c r="C11" s="6" t="s">
        <v>69</v>
      </c>
      <c r="D11" s="12">
        <v>0.03</v>
      </c>
      <c r="E11" s="12">
        <v>0.03</v>
      </c>
      <c r="F11" s="8"/>
      <c r="G11" s="11">
        <f t="shared" ref="G11" si="5">F11/E11</f>
        <v>0</v>
      </c>
    </row>
    <row r="12" spans="1:8" ht="48" x14ac:dyDescent="0.2">
      <c r="A12" s="20"/>
      <c r="B12" s="22" t="s">
        <v>35</v>
      </c>
      <c r="C12" s="6" t="s">
        <v>70</v>
      </c>
      <c r="D12" s="12">
        <v>0.01</v>
      </c>
      <c r="E12" s="12">
        <v>0.02</v>
      </c>
      <c r="F12" s="8"/>
      <c r="G12" s="11">
        <f t="shared" ref="G12:G13" si="6">F12/E12</f>
        <v>0</v>
      </c>
    </row>
    <row r="13" spans="1:8" ht="48" x14ac:dyDescent="0.2">
      <c r="A13" s="20"/>
      <c r="B13" s="23"/>
      <c r="C13" s="6" t="s">
        <v>71</v>
      </c>
      <c r="D13" s="12">
        <v>0.01</v>
      </c>
      <c r="E13" s="12">
        <v>0.02</v>
      </c>
      <c r="F13" s="8"/>
      <c r="G13" s="11">
        <f t="shared" si="6"/>
        <v>0</v>
      </c>
    </row>
    <row r="14" spans="1:8" ht="32" x14ac:dyDescent="0.2">
      <c r="A14" s="20"/>
      <c r="B14" s="10" t="s">
        <v>41</v>
      </c>
      <c r="C14" s="6" t="s">
        <v>72</v>
      </c>
      <c r="D14" s="8">
        <v>2</v>
      </c>
      <c r="E14" s="8">
        <v>6</v>
      </c>
      <c r="F14" s="8"/>
      <c r="G14" s="11">
        <f t="shared" si="4"/>
        <v>0</v>
      </c>
    </row>
    <row r="15" spans="1:8" ht="16" x14ac:dyDescent="0.2">
      <c r="A15" s="20" t="s">
        <v>73</v>
      </c>
      <c r="B15" s="10" t="s">
        <v>32</v>
      </c>
      <c r="C15" s="6" t="s">
        <v>74</v>
      </c>
      <c r="D15" s="8">
        <v>2</v>
      </c>
      <c r="E15" s="8">
        <v>3</v>
      </c>
      <c r="F15" s="8"/>
      <c r="G15" s="11">
        <f t="shared" si="4"/>
        <v>0</v>
      </c>
    </row>
    <row r="16" spans="1:8" ht="32" x14ac:dyDescent="0.2">
      <c r="A16" s="20"/>
      <c r="B16" s="10" t="s">
        <v>33</v>
      </c>
      <c r="C16" s="6" t="s">
        <v>75</v>
      </c>
      <c r="D16" s="8" t="s">
        <v>76</v>
      </c>
      <c r="E16" s="8" t="s">
        <v>77</v>
      </c>
      <c r="F16" s="8"/>
      <c r="G16" s="11">
        <f>IF(F16=D16,50%,IF(F16=E16,100%,))</f>
        <v>0</v>
      </c>
    </row>
    <row r="17" spans="1:7" ht="32" x14ac:dyDescent="0.2">
      <c r="A17" s="8" t="s">
        <v>78</v>
      </c>
      <c r="B17" s="10" t="s">
        <v>32</v>
      </c>
      <c r="C17" s="6" t="s">
        <v>79</v>
      </c>
      <c r="D17" s="8">
        <v>1</v>
      </c>
      <c r="E17" s="8">
        <v>3</v>
      </c>
      <c r="F17" s="8"/>
      <c r="G17" s="11">
        <f t="shared" ref="G17:G19" si="7">F17/E17</f>
        <v>0</v>
      </c>
    </row>
    <row r="18" spans="1:7" ht="16" x14ac:dyDescent="0.2">
      <c r="A18" s="20" t="s">
        <v>80</v>
      </c>
      <c r="B18" s="22" t="s">
        <v>32</v>
      </c>
      <c r="C18" s="6" t="s">
        <v>81</v>
      </c>
      <c r="D18" s="12">
        <v>0.96</v>
      </c>
      <c r="E18" s="12">
        <v>1</v>
      </c>
      <c r="F18" s="8"/>
      <c r="G18" s="11">
        <f t="shared" si="7"/>
        <v>0</v>
      </c>
    </row>
    <row r="19" spans="1:7" ht="16" x14ac:dyDescent="0.2">
      <c r="A19" s="20"/>
      <c r="B19" s="23"/>
      <c r="C19" s="6" t="s">
        <v>82</v>
      </c>
      <c r="D19" s="12">
        <v>0.96</v>
      </c>
      <c r="E19" s="12">
        <v>1</v>
      </c>
      <c r="F19" s="8"/>
      <c r="G19" s="11">
        <f t="shared" si="7"/>
        <v>0</v>
      </c>
    </row>
    <row r="20" spans="1:7" ht="16" x14ac:dyDescent="0.2">
      <c r="A20" s="20" t="s">
        <v>83</v>
      </c>
      <c r="B20" s="10" t="s">
        <v>32</v>
      </c>
      <c r="C20" s="6" t="s">
        <v>84</v>
      </c>
      <c r="D20" s="12">
        <v>0.75</v>
      </c>
      <c r="E20" s="12">
        <v>0.8</v>
      </c>
      <c r="F20" s="8"/>
      <c r="G20" s="11">
        <f t="shared" ref="G20:G23" si="8">F20/E20</f>
        <v>0</v>
      </c>
    </row>
    <row r="21" spans="1:7" ht="16" x14ac:dyDescent="0.2">
      <c r="A21" s="20"/>
      <c r="B21" s="10" t="s">
        <v>33</v>
      </c>
      <c r="C21" s="6" t="s">
        <v>85</v>
      </c>
      <c r="D21" s="12">
        <v>0.75</v>
      </c>
      <c r="E21" s="12">
        <v>0.8</v>
      </c>
      <c r="F21" s="8"/>
      <c r="G21" s="11">
        <f t="shared" si="8"/>
        <v>0</v>
      </c>
    </row>
    <row r="22" spans="1:7" ht="16" x14ac:dyDescent="0.2">
      <c r="A22" s="20" t="s">
        <v>86</v>
      </c>
      <c r="B22" s="10" t="s">
        <v>32</v>
      </c>
      <c r="C22" s="6" t="s">
        <v>87</v>
      </c>
      <c r="D22" s="8">
        <v>1</v>
      </c>
      <c r="E22" s="8">
        <v>3</v>
      </c>
      <c r="F22" s="8"/>
      <c r="G22" s="11">
        <f t="shared" si="8"/>
        <v>0</v>
      </c>
    </row>
    <row r="23" spans="1:7" ht="32" x14ac:dyDescent="0.2">
      <c r="A23" s="20"/>
      <c r="B23" s="10" t="s">
        <v>33</v>
      </c>
      <c r="C23" s="6" t="s">
        <v>88</v>
      </c>
      <c r="D23" s="8">
        <v>1</v>
      </c>
      <c r="E23" s="8">
        <v>1</v>
      </c>
      <c r="F23" s="8"/>
      <c r="G23" s="11">
        <f t="shared" si="8"/>
        <v>0</v>
      </c>
    </row>
    <row r="24" spans="1:7" ht="16" x14ac:dyDescent="0.2">
      <c r="A24" s="20" t="s">
        <v>89</v>
      </c>
      <c r="B24" s="14" t="s">
        <v>32</v>
      </c>
      <c r="C24" s="6" t="s">
        <v>90</v>
      </c>
      <c r="D24" s="8">
        <v>1</v>
      </c>
      <c r="E24" s="8">
        <v>3</v>
      </c>
      <c r="F24" s="8"/>
      <c r="G24" s="11">
        <f t="shared" ref="G24:G25" si="9">F24/E24</f>
        <v>0</v>
      </c>
    </row>
    <row r="25" spans="1:7" ht="32" x14ac:dyDescent="0.2">
      <c r="A25" s="20"/>
      <c r="B25" s="14" t="s">
        <v>33</v>
      </c>
      <c r="C25" s="6" t="s">
        <v>91</v>
      </c>
      <c r="D25" s="8">
        <v>1</v>
      </c>
      <c r="E25" s="8">
        <v>3</v>
      </c>
      <c r="F25" s="8"/>
      <c r="G25" s="11">
        <f t="shared" si="9"/>
        <v>0</v>
      </c>
    </row>
    <row r="26" spans="1:7" ht="16" x14ac:dyDescent="0.2">
      <c r="A26" s="20"/>
      <c r="B26" s="14" t="s">
        <v>34</v>
      </c>
      <c r="C26" s="6" t="s">
        <v>92</v>
      </c>
      <c r="D26" s="8">
        <v>3500</v>
      </c>
      <c r="E26" s="8">
        <v>3800</v>
      </c>
      <c r="F26" s="8"/>
      <c r="G26" s="11">
        <f t="shared" ref="G26:G27" si="10">F26/E26</f>
        <v>0</v>
      </c>
    </row>
    <row r="27" spans="1:7" ht="16" x14ac:dyDescent="0.2">
      <c r="A27" s="20"/>
      <c r="B27" s="14" t="s">
        <v>35</v>
      </c>
      <c r="C27" s="6" t="s">
        <v>93</v>
      </c>
      <c r="D27" s="8">
        <v>1</v>
      </c>
      <c r="E27" s="8">
        <v>2</v>
      </c>
      <c r="F27" s="8"/>
      <c r="G27" s="11">
        <f t="shared" si="10"/>
        <v>0</v>
      </c>
    </row>
    <row r="28" spans="1:7" ht="16" x14ac:dyDescent="0.2">
      <c r="A28" s="20"/>
      <c r="B28" s="14" t="s">
        <v>41</v>
      </c>
      <c r="C28" s="6" t="s">
        <v>94</v>
      </c>
      <c r="D28" s="8">
        <v>1</v>
      </c>
      <c r="E28" s="8">
        <v>1</v>
      </c>
      <c r="F28" s="8"/>
      <c r="G28" s="11">
        <f t="shared" ref="G28:G29" si="11">F28/E28</f>
        <v>0</v>
      </c>
    </row>
    <row r="29" spans="1:7" ht="16" x14ac:dyDescent="0.2">
      <c r="A29" s="20"/>
      <c r="B29" s="14" t="s">
        <v>58</v>
      </c>
      <c r="C29" s="6" t="s">
        <v>95</v>
      </c>
      <c r="D29" s="8">
        <v>1</v>
      </c>
      <c r="E29" s="8">
        <v>3</v>
      </c>
      <c r="F29" s="8"/>
      <c r="G29" s="11">
        <f t="shared" si="11"/>
        <v>0</v>
      </c>
    </row>
    <row r="30" spans="1:7" ht="16" x14ac:dyDescent="0.2">
      <c r="A30" s="20"/>
      <c r="B30" s="14" t="s">
        <v>59</v>
      </c>
      <c r="C30" s="6" t="s">
        <v>96</v>
      </c>
      <c r="D30" s="8">
        <v>1</v>
      </c>
      <c r="E30" s="8">
        <v>5</v>
      </c>
      <c r="F30" s="8"/>
      <c r="G30" s="11">
        <f t="shared" ref="G30:G31" si="12">F30/E30</f>
        <v>0</v>
      </c>
    </row>
    <row r="31" spans="1:7" ht="32" x14ac:dyDescent="0.2">
      <c r="A31" s="20"/>
      <c r="B31" s="14" t="s">
        <v>60</v>
      </c>
      <c r="C31" s="6" t="s">
        <v>97</v>
      </c>
      <c r="D31" s="8">
        <v>0.5</v>
      </c>
      <c r="E31" s="8">
        <v>2.5</v>
      </c>
      <c r="F31" s="8"/>
      <c r="G31" s="11">
        <f t="shared" si="12"/>
        <v>0</v>
      </c>
    </row>
  </sheetData>
  <mergeCells count="19">
    <mergeCell ref="A1:G1"/>
    <mergeCell ref="A2:A3"/>
    <mergeCell ref="B2:B3"/>
    <mergeCell ref="C2:C3"/>
    <mergeCell ref="D2:E2"/>
    <mergeCell ref="F2:F3"/>
    <mergeCell ref="G2:G3"/>
    <mergeCell ref="B4:B5"/>
    <mergeCell ref="B6:B7"/>
    <mergeCell ref="A20:A21"/>
    <mergeCell ref="A22:A23"/>
    <mergeCell ref="A24:A31"/>
    <mergeCell ref="A15:A16"/>
    <mergeCell ref="A18:A19"/>
    <mergeCell ref="B18:B19"/>
    <mergeCell ref="B12:B13"/>
    <mergeCell ref="B10:B11"/>
    <mergeCell ref="A4:A7"/>
    <mergeCell ref="A8:A14"/>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5"/>
  <sheetViews>
    <sheetView zoomScaleNormal="100" workbookViewId="0">
      <selection activeCell="D5" sqref="D5:G5"/>
    </sheetView>
  </sheetViews>
  <sheetFormatPr baseColWidth="10" defaultColWidth="9.1640625" defaultRowHeight="15" x14ac:dyDescent="0.2"/>
  <cols>
    <col min="1" max="1" width="12.83203125" style="2" bestFit="1" customWidth="1"/>
    <col min="2" max="2" width="9.1640625" style="2" bestFit="1" customWidth="1"/>
    <col min="3" max="3" width="26.5" style="9" bestFit="1" customWidth="1"/>
    <col min="4" max="5" width="19.6640625" style="2" bestFit="1" customWidth="1"/>
    <col min="6" max="6" width="19.6640625" style="1" customWidth="1"/>
    <col min="7" max="7" width="14.5" style="1" bestFit="1" customWidth="1"/>
    <col min="8" max="16384" width="9.1640625" style="3"/>
  </cols>
  <sheetData>
    <row r="1" spans="1:8" x14ac:dyDescent="0.2">
      <c r="A1" s="19" t="s">
        <v>98</v>
      </c>
      <c r="B1" s="19"/>
      <c r="C1" s="19"/>
      <c r="D1" s="19"/>
      <c r="E1" s="19"/>
      <c r="F1" s="19"/>
      <c r="G1" s="19"/>
    </row>
    <row r="2" spans="1:8" s="4" customFormat="1" x14ac:dyDescent="0.2">
      <c r="A2" s="19" t="s">
        <v>4</v>
      </c>
      <c r="B2" s="19" t="s">
        <v>31</v>
      </c>
      <c r="C2" s="19" t="s">
        <v>6</v>
      </c>
      <c r="D2" s="19" t="s">
        <v>26</v>
      </c>
      <c r="E2" s="19"/>
      <c r="F2" s="19" t="s">
        <v>30</v>
      </c>
      <c r="G2" s="19" t="s">
        <v>27</v>
      </c>
      <c r="H2" s="2"/>
    </row>
    <row r="3" spans="1:8" x14ac:dyDescent="0.2">
      <c r="A3" s="19"/>
      <c r="B3" s="19"/>
      <c r="C3" s="19"/>
      <c r="D3" s="5" t="s">
        <v>28</v>
      </c>
      <c r="E3" s="5" t="s">
        <v>29</v>
      </c>
      <c r="F3" s="19"/>
      <c r="G3" s="19"/>
      <c r="H3" s="1"/>
    </row>
    <row r="4" spans="1:8" ht="16" x14ac:dyDescent="0.2">
      <c r="A4" s="8" t="s">
        <v>99</v>
      </c>
      <c r="B4" s="10" t="s">
        <v>32</v>
      </c>
      <c r="C4" s="6" t="s">
        <v>100</v>
      </c>
      <c r="D4" s="8">
        <v>1</v>
      </c>
      <c r="E4" s="8">
        <v>1</v>
      </c>
      <c r="F4" s="8"/>
      <c r="G4" s="11">
        <f>F4/E4</f>
        <v>0</v>
      </c>
    </row>
    <row r="5" spans="1:8" ht="32" x14ac:dyDescent="0.2">
      <c r="A5" s="8" t="s">
        <v>101</v>
      </c>
      <c r="B5" s="10" t="s">
        <v>32</v>
      </c>
      <c r="C5" s="6" t="s">
        <v>102</v>
      </c>
      <c r="D5" s="8" t="s">
        <v>103</v>
      </c>
      <c r="E5" s="8" t="s">
        <v>104</v>
      </c>
      <c r="F5" s="8"/>
      <c r="G5" s="11">
        <f>IF(F5=D5,50%,IF(F5=E5,100%,))</f>
        <v>0</v>
      </c>
    </row>
    <row r="6" spans="1:8" ht="32" x14ac:dyDescent="0.2">
      <c r="A6" s="8" t="s">
        <v>105</v>
      </c>
      <c r="B6" s="10" t="s">
        <v>32</v>
      </c>
      <c r="C6" s="6" t="s">
        <v>113</v>
      </c>
      <c r="D6" s="8" t="s">
        <v>108</v>
      </c>
      <c r="E6" s="8" t="s">
        <v>104</v>
      </c>
      <c r="F6" s="8"/>
      <c r="G6" s="11">
        <f t="shared" ref="G6:G7" si="0">IF(F6=D6,50%,IF(F6=E6,100%,))</f>
        <v>0</v>
      </c>
    </row>
    <row r="7" spans="1:8" ht="16" x14ac:dyDescent="0.2">
      <c r="A7" s="8" t="s">
        <v>106</v>
      </c>
      <c r="B7" s="10" t="s">
        <v>32</v>
      </c>
      <c r="C7" s="6" t="s">
        <v>107</v>
      </c>
      <c r="D7" s="8" t="s">
        <v>109</v>
      </c>
      <c r="E7" s="8" t="s">
        <v>110</v>
      </c>
      <c r="F7" s="8"/>
      <c r="G7" s="11">
        <f t="shared" si="0"/>
        <v>0</v>
      </c>
    </row>
    <row r="8" spans="1:8" ht="16" x14ac:dyDescent="0.2">
      <c r="A8" s="20" t="s">
        <v>111</v>
      </c>
      <c r="B8" s="10" t="s">
        <v>32</v>
      </c>
      <c r="C8" s="6" t="s">
        <v>112</v>
      </c>
      <c r="D8" s="8" t="s">
        <v>115</v>
      </c>
      <c r="E8" s="8" t="s">
        <v>115</v>
      </c>
      <c r="F8" s="8"/>
      <c r="G8" s="11">
        <f t="shared" ref="G8" si="1">IF(F8=D8,50%,IF(F8=E8,100%,))</f>
        <v>0</v>
      </c>
    </row>
    <row r="9" spans="1:8" ht="32" x14ac:dyDescent="0.2">
      <c r="A9" s="20"/>
      <c r="B9" s="10" t="s">
        <v>33</v>
      </c>
      <c r="C9" s="6" t="s">
        <v>114</v>
      </c>
      <c r="D9" s="8" t="s">
        <v>115</v>
      </c>
      <c r="E9" s="8" t="s">
        <v>115</v>
      </c>
      <c r="F9" s="8"/>
      <c r="G9" s="11">
        <f t="shared" ref="G9" si="2">IF(F9=D9,50%,IF(F9=E9,100%,))</f>
        <v>0</v>
      </c>
    </row>
    <row r="10" spans="1:8" ht="16" x14ac:dyDescent="0.2">
      <c r="A10" s="20" t="s">
        <v>116</v>
      </c>
      <c r="B10" s="10" t="s">
        <v>32</v>
      </c>
      <c r="C10" s="6" t="s">
        <v>117</v>
      </c>
      <c r="D10" s="12">
        <v>0.95</v>
      </c>
      <c r="E10" s="12">
        <v>0.95</v>
      </c>
      <c r="F10" s="8"/>
      <c r="G10" s="11">
        <f t="shared" ref="G10" si="3">F10/E10</f>
        <v>0</v>
      </c>
    </row>
    <row r="11" spans="1:8" ht="16" x14ac:dyDescent="0.2">
      <c r="A11" s="20"/>
      <c r="B11" s="10" t="s">
        <v>33</v>
      </c>
      <c r="C11" s="6" t="s">
        <v>118</v>
      </c>
      <c r="D11" s="8" t="s">
        <v>121</v>
      </c>
      <c r="E11" s="8" t="s">
        <v>121</v>
      </c>
      <c r="F11" s="8"/>
      <c r="G11" s="11">
        <f t="shared" ref="G11:G12" si="4">IF(F11=D11,50%,IF(F11=E11,100%,))</f>
        <v>0</v>
      </c>
    </row>
    <row r="12" spans="1:8" ht="16" x14ac:dyDescent="0.2">
      <c r="A12" s="20"/>
      <c r="B12" s="10" t="s">
        <v>34</v>
      </c>
      <c r="C12" s="6" t="s">
        <v>119</v>
      </c>
      <c r="D12" s="8" t="s">
        <v>108</v>
      </c>
      <c r="E12" s="8" t="s">
        <v>104</v>
      </c>
      <c r="F12" s="8"/>
      <c r="G12" s="11">
        <f t="shared" si="4"/>
        <v>0</v>
      </c>
    </row>
    <row r="13" spans="1:8" ht="16" x14ac:dyDescent="0.2">
      <c r="A13" s="20"/>
      <c r="B13" s="10" t="s">
        <v>35</v>
      </c>
      <c r="C13" s="6" t="s">
        <v>120</v>
      </c>
      <c r="D13" s="8" t="s">
        <v>108</v>
      </c>
      <c r="E13" s="8" t="s">
        <v>104</v>
      </c>
      <c r="F13" s="8"/>
      <c r="G13" s="11">
        <f t="shared" ref="G13" si="5">IF(F13=D13,50%,IF(F13=E13,100%,))</f>
        <v>0</v>
      </c>
    </row>
    <row r="14" spans="1:8" x14ac:dyDescent="0.2">
      <c r="A14" s="3"/>
      <c r="B14" s="3"/>
      <c r="C14" s="3"/>
      <c r="D14" s="3"/>
      <c r="E14" s="3"/>
      <c r="F14" s="3"/>
      <c r="G14" s="3"/>
    </row>
    <row r="15" spans="1:8" x14ac:dyDescent="0.2">
      <c r="A15" s="3"/>
      <c r="B15" s="3"/>
      <c r="C15" s="3"/>
      <c r="D15" s="3"/>
      <c r="E15" s="3"/>
      <c r="F15" s="3"/>
      <c r="G15" s="3"/>
    </row>
    <row r="16" spans="1:8" x14ac:dyDescent="0.2">
      <c r="A16" s="3"/>
      <c r="B16" s="3"/>
      <c r="C16" s="3"/>
      <c r="D16" s="3"/>
      <c r="E16" s="3"/>
      <c r="F16" s="3"/>
      <c r="G16" s="3"/>
    </row>
    <row r="17" s="3" customFormat="1" x14ac:dyDescent="0.2"/>
    <row r="18" s="3" customFormat="1" x14ac:dyDescent="0.2"/>
    <row r="19" s="3" customFormat="1" x14ac:dyDescent="0.2"/>
    <row r="20" s="3" customFormat="1" x14ac:dyDescent="0.2"/>
    <row r="21" s="3" customFormat="1" x14ac:dyDescent="0.2"/>
    <row r="22" s="3" customFormat="1" x14ac:dyDescent="0.2"/>
    <row r="23" s="3" customFormat="1" x14ac:dyDescent="0.2"/>
    <row r="24" s="3" customFormat="1" x14ac:dyDescent="0.2"/>
    <row r="25" s="3" customFormat="1" x14ac:dyDescent="0.2"/>
    <row r="26" s="3" customFormat="1" x14ac:dyDescent="0.2"/>
    <row r="27" s="3" customFormat="1" x14ac:dyDescent="0.2"/>
    <row r="28" s="3" customFormat="1" x14ac:dyDescent="0.2"/>
    <row r="29" s="3" customFormat="1" x14ac:dyDescent="0.2"/>
    <row r="30" s="3" customFormat="1" x14ac:dyDescent="0.2"/>
    <row r="31" s="3" customFormat="1" x14ac:dyDescent="0.2"/>
    <row r="32" s="3" customFormat="1" x14ac:dyDescent="0.2"/>
    <row r="33" s="3" customFormat="1" x14ac:dyDescent="0.2"/>
    <row r="34" s="3" customFormat="1" x14ac:dyDescent="0.2"/>
    <row r="35" s="3" customFormat="1" x14ac:dyDescent="0.2"/>
  </sheetData>
  <mergeCells count="9">
    <mergeCell ref="A8:A9"/>
    <mergeCell ref="A10:A13"/>
    <mergeCell ref="A1:G1"/>
    <mergeCell ref="A2:A3"/>
    <mergeCell ref="B2:B3"/>
    <mergeCell ref="C2:C3"/>
    <mergeCell ref="D2:E2"/>
    <mergeCell ref="F2:F3"/>
    <mergeCell ref="G2:G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zoomScaleNormal="100" workbookViewId="0">
      <selection sqref="A1:G1"/>
    </sheetView>
  </sheetViews>
  <sheetFormatPr baseColWidth="10" defaultColWidth="9.1640625" defaultRowHeight="15" x14ac:dyDescent="0.2"/>
  <cols>
    <col min="1" max="1" width="12.83203125" style="2" bestFit="1" customWidth="1"/>
    <col min="2" max="2" width="9.1640625" style="2" bestFit="1" customWidth="1"/>
    <col min="3" max="3" width="28.5" style="9" bestFit="1" customWidth="1"/>
    <col min="4" max="5" width="19.6640625" style="2" bestFit="1" customWidth="1"/>
    <col min="6" max="6" width="19.6640625" style="1" customWidth="1"/>
    <col min="7" max="7" width="14.5" style="1" bestFit="1" customWidth="1"/>
    <col min="8" max="16384" width="9.1640625" style="3"/>
  </cols>
  <sheetData>
    <row r="1" spans="1:8" x14ac:dyDescent="0.2">
      <c r="A1" s="19" t="s">
        <v>122</v>
      </c>
      <c r="B1" s="19"/>
      <c r="C1" s="19"/>
      <c r="D1" s="19"/>
      <c r="E1" s="19"/>
      <c r="F1" s="19"/>
      <c r="G1" s="19"/>
    </row>
    <row r="2" spans="1:8" s="4" customFormat="1" x14ac:dyDescent="0.2">
      <c r="A2" s="19" t="s">
        <v>4</v>
      </c>
      <c r="B2" s="19" t="s">
        <v>31</v>
      </c>
      <c r="C2" s="19" t="s">
        <v>6</v>
      </c>
      <c r="D2" s="19" t="s">
        <v>26</v>
      </c>
      <c r="E2" s="19"/>
      <c r="F2" s="19" t="s">
        <v>30</v>
      </c>
      <c r="G2" s="19" t="s">
        <v>27</v>
      </c>
      <c r="H2" s="2"/>
    </row>
    <row r="3" spans="1:8" x14ac:dyDescent="0.2">
      <c r="A3" s="19"/>
      <c r="B3" s="19"/>
      <c r="C3" s="19"/>
      <c r="D3" s="5" t="s">
        <v>28</v>
      </c>
      <c r="E3" s="5" t="s">
        <v>29</v>
      </c>
      <c r="F3" s="19"/>
      <c r="G3" s="19"/>
      <c r="H3" s="1"/>
    </row>
    <row r="4" spans="1:8" ht="32" x14ac:dyDescent="0.2">
      <c r="A4" s="8" t="s">
        <v>123</v>
      </c>
      <c r="B4" s="10" t="s">
        <v>32</v>
      </c>
      <c r="C4" s="6" t="s">
        <v>124</v>
      </c>
      <c r="D4" s="12">
        <v>0.98</v>
      </c>
      <c r="E4" s="12">
        <v>1</v>
      </c>
      <c r="F4" s="8"/>
      <c r="G4" s="11">
        <f t="shared" ref="G4" si="0">F4/E4</f>
        <v>0</v>
      </c>
    </row>
    <row r="5" spans="1:8" ht="32" x14ac:dyDescent="0.2">
      <c r="A5" s="8" t="s">
        <v>125</v>
      </c>
      <c r="B5" s="10" t="s">
        <v>32</v>
      </c>
      <c r="C5" s="6" t="s">
        <v>126</v>
      </c>
      <c r="D5" s="12">
        <v>1</v>
      </c>
      <c r="E5" s="12">
        <v>1</v>
      </c>
      <c r="F5" s="8"/>
      <c r="G5" s="11">
        <f t="shared" ref="G5" si="1">F5/E5</f>
        <v>0</v>
      </c>
    </row>
    <row r="6" spans="1:8" ht="32" x14ac:dyDescent="0.2">
      <c r="A6" s="20" t="s">
        <v>127</v>
      </c>
      <c r="B6" s="22" t="s">
        <v>32</v>
      </c>
      <c r="C6" s="6" t="s">
        <v>130</v>
      </c>
      <c r="D6" s="8">
        <v>2</v>
      </c>
      <c r="E6" s="8">
        <v>2</v>
      </c>
      <c r="F6" s="8"/>
      <c r="G6" s="11">
        <f>F6/E6</f>
        <v>0</v>
      </c>
    </row>
    <row r="7" spans="1:8" ht="32" x14ac:dyDescent="0.2">
      <c r="A7" s="20"/>
      <c r="B7" s="23"/>
      <c r="C7" s="6" t="s">
        <v>131</v>
      </c>
      <c r="D7" s="8">
        <v>1</v>
      </c>
      <c r="E7" s="8">
        <v>1</v>
      </c>
      <c r="F7" s="8"/>
      <c r="G7" s="11">
        <f>F7/E7</f>
        <v>0</v>
      </c>
    </row>
    <row r="8" spans="1:8" ht="16" x14ac:dyDescent="0.2">
      <c r="A8" s="20"/>
      <c r="B8" s="10" t="s">
        <v>33</v>
      </c>
      <c r="C8" s="6" t="s">
        <v>128</v>
      </c>
      <c r="D8" s="8">
        <v>1</v>
      </c>
      <c r="E8" s="8">
        <v>1</v>
      </c>
      <c r="F8" s="8"/>
      <c r="G8" s="11">
        <f>F8/E8</f>
        <v>0</v>
      </c>
    </row>
    <row r="9" spans="1:8" ht="32" x14ac:dyDescent="0.2">
      <c r="A9" s="20"/>
      <c r="B9" s="10" t="s">
        <v>34</v>
      </c>
      <c r="C9" s="6" t="s">
        <v>129</v>
      </c>
      <c r="D9" s="12">
        <v>0.5</v>
      </c>
      <c r="E9" s="12">
        <v>1</v>
      </c>
      <c r="F9" s="12"/>
      <c r="G9" s="11">
        <f t="shared" ref="G9" si="2">F9/E9</f>
        <v>0</v>
      </c>
    </row>
    <row r="10" spans="1:8" ht="32" x14ac:dyDescent="0.2">
      <c r="A10" s="24" t="s">
        <v>132</v>
      </c>
      <c r="B10" s="10" t="s">
        <v>32</v>
      </c>
      <c r="C10" s="6" t="s">
        <v>133</v>
      </c>
      <c r="D10" s="12">
        <v>0.81</v>
      </c>
      <c r="E10" s="12">
        <v>0.85</v>
      </c>
      <c r="F10" s="12"/>
      <c r="G10" s="11">
        <f t="shared" ref="G10" si="3">F10/E10</f>
        <v>0</v>
      </c>
    </row>
    <row r="11" spans="1:8" ht="32" x14ac:dyDescent="0.2">
      <c r="A11" s="26"/>
      <c r="B11" s="10" t="s">
        <v>33</v>
      </c>
      <c r="C11" s="6" t="s">
        <v>134</v>
      </c>
      <c r="D11" s="12">
        <v>0.91</v>
      </c>
      <c r="E11" s="12">
        <v>0.92</v>
      </c>
      <c r="F11" s="12"/>
      <c r="G11" s="11">
        <f t="shared" ref="G11:G12" si="4">F11/E11</f>
        <v>0</v>
      </c>
    </row>
    <row r="12" spans="1:8" ht="32" x14ac:dyDescent="0.2">
      <c r="A12" s="24" t="s">
        <v>135</v>
      </c>
      <c r="B12" s="10" t="s">
        <v>32</v>
      </c>
      <c r="C12" s="6" t="s">
        <v>136</v>
      </c>
      <c r="D12" s="12">
        <v>0.09</v>
      </c>
      <c r="E12" s="12">
        <v>0.09</v>
      </c>
      <c r="F12" s="12"/>
      <c r="G12" s="11">
        <f t="shared" si="4"/>
        <v>0</v>
      </c>
    </row>
    <row r="13" spans="1:8" ht="32" x14ac:dyDescent="0.2">
      <c r="A13" s="26"/>
      <c r="B13" s="10" t="s">
        <v>33</v>
      </c>
      <c r="C13" s="6" t="s">
        <v>137</v>
      </c>
      <c r="D13" s="12">
        <v>0.05</v>
      </c>
      <c r="E13" s="12">
        <v>0.05</v>
      </c>
      <c r="F13" s="12"/>
      <c r="G13" s="11">
        <f t="shared" ref="G13" si="5">F13/E13</f>
        <v>0</v>
      </c>
    </row>
    <row r="14" spans="1:8" x14ac:dyDescent="0.2">
      <c r="A14" s="3"/>
      <c r="B14" s="3"/>
      <c r="C14" s="3"/>
      <c r="D14" s="3"/>
      <c r="E14" s="3"/>
      <c r="F14" s="3"/>
      <c r="G14" s="3"/>
    </row>
    <row r="15" spans="1:8" x14ac:dyDescent="0.2">
      <c r="A15" s="3"/>
      <c r="B15" s="3"/>
      <c r="C15" s="3"/>
      <c r="D15" s="3"/>
      <c r="E15" s="3"/>
      <c r="F15" s="3"/>
      <c r="G15" s="3"/>
    </row>
    <row r="16" spans="1:8" x14ac:dyDescent="0.2">
      <c r="A16" s="3"/>
      <c r="B16" s="3"/>
      <c r="C16" s="3"/>
      <c r="D16" s="3"/>
      <c r="E16" s="3"/>
      <c r="F16" s="3"/>
      <c r="G16" s="3"/>
    </row>
    <row r="17" s="3" customFormat="1" x14ac:dyDescent="0.2"/>
    <row r="18" s="3" customFormat="1" x14ac:dyDescent="0.2"/>
    <row r="19" s="3" customFormat="1" x14ac:dyDescent="0.2"/>
    <row r="20" s="3" customFormat="1" x14ac:dyDescent="0.2"/>
    <row r="21" s="3" customFormat="1" x14ac:dyDescent="0.2"/>
    <row r="22" s="3" customFormat="1" x14ac:dyDescent="0.2"/>
    <row r="23" s="3" customFormat="1" x14ac:dyDescent="0.2"/>
    <row r="24" s="3" customFormat="1" x14ac:dyDescent="0.2"/>
    <row r="25" s="3" customFormat="1" x14ac:dyDescent="0.2"/>
    <row r="26" s="3" customFormat="1" x14ac:dyDescent="0.2"/>
    <row r="27" s="3" customFormat="1" x14ac:dyDescent="0.2"/>
    <row r="28" s="3" customFormat="1" x14ac:dyDescent="0.2"/>
    <row r="29" s="3" customFormat="1" x14ac:dyDescent="0.2"/>
    <row r="30" s="3" customFormat="1" x14ac:dyDescent="0.2"/>
    <row r="31" s="3" customFormat="1" x14ac:dyDescent="0.2"/>
    <row r="32" s="3" customFormat="1" x14ac:dyDescent="0.2"/>
    <row r="33" spans="1:7" x14ac:dyDescent="0.2">
      <c r="A33" s="3"/>
      <c r="B33" s="3"/>
      <c r="C33" s="3"/>
      <c r="D33" s="3"/>
      <c r="E33" s="3"/>
      <c r="F33" s="3"/>
      <c r="G33" s="3"/>
    </row>
    <row r="34" spans="1:7" x14ac:dyDescent="0.2">
      <c r="A34" s="3"/>
      <c r="B34" s="3"/>
      <c r="C34" s="3"/>
      <c r="D34" s="3"/>
      <c r="E34" s="3"/>
      <c r="F34" s="3"/>
      <c r="G34" s="3"/>
    </row>
    <row r="35" spans="1:7" x14ac:dyDescent="0.2">
      <c r="A35" s="3"/>
    </row>
    <row r="36" spans="1:7" x14ac:dyDescent="0.2">
      <c r="A36" s="3"/>
    </row>
  </sheetData>
  <mergeCells count="11">
    <mergeCell ref="A6:A9"/>
    <mergeCell ref="B6:B7"/>
    <mergeCell ref="A10:A11"/>
    <mergeCell ref="A12:A13"/>
    <mergeCell ref="A1:G1"/>
    <mergeCell ref="A2:A3"/>
    <mergeCell ref="B2:B3"/>
    <mergeCell ref="C2:C3"/>
    <mergeCell ref="D2:E2"/>
    <mergeCell ref="F2:F3"/>
    <mergeCell ref="G2:G3"/>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
  <sheetViews>
    <sheetView zoomScaleNormal="100" workbookViewId="0">
      <selection activeCell="D6" sqref="D6:G6"/>
    </sheetView>
  </sheetViews>
  <sheetFormatPr baseColWidth="10" defaultColWidth="9.1640625" defaultRowHeight="15" x14ac:dyDescent="0.2"/>
  <cols>
    <col min="1" max="1" width="12.83203125" style="2" bestFit="1" customWidth="1"/>
    <col min="2" max="2" width="9.1640625" style="2" bestFit="1" customWidth="1"/>
    <col min="3" max="3" width="26.6640625" style="9" bestFit="1" customWidth="1"/>
    <col min="4" max="5" width="28.5" style="2" bestFit="1" customWidth="1"/>
    <col min="6" max="6" width="19.6640625" style="1" customWidth="1"/>
    <col min="7" max="7" width="14.5" style="1" bestFit="1" customWidth="1"/>
    <col min="8" max="16384" width="9.1640625" style="3"/>
  </cols>
  <sheetData>
    <row r="1" spans="1:8" x14ac:dyDescent="0.2">
      <c r="A1" s="19" t="s">
        <v>138</v>
      </c>
      <c r="B1" s="19"/>
      <c r="C1" s="19"/>
      <c r="D1" s="19"/>
      <c r="E1" s="19"/>
      <c r="F1" s="19"/>
      <c r="G1" s="19"/>
    </row>
    <row r="2" spans="1:8" s="4" customFormat="1" x14ac:dyDescent="0.2">
      <c r="A2" s="19" t="s">
        <v>4</v>
      </c>
      <c r="B2" s="19" t="s">
        <v>31</v>
      </c>
      <c r="C2" s="19" t="s">
        <v>6</v>
      </c>
      <c r="D2" s="19" t="s">
        <v>26</v>
      </c>
      <c r="E2" s="19"/>
      <c r="F2" s="19" t="s">
        <v>30</v>
      </c>
      <c r="G2" s="19" t="s">
        <v>27</v>
      </c>
      <c r="H2" s="2"/>
    </row>
    <row r="3" spans="1:8" x14ac:dyDescent="0.2">
      <c r="A3" s="19"/>
      <c r="B3" s="19"/>
      <c r="C3" s="19"/>
      <c r="D3" s="5" t="s">
        <v>28</v>
      </c>
      <c r="E3" s="5" t="s">
        <v>29</v>
      </c>
      <c r="F3" s="19"/>
      <c r="G3" s="19"/>
      <c r="H3" s="1"/>
    </row>
    <row r="4" spans="1:8" ht="64" x14ac:dyDescent="0.2">
      <c r="A4" s="20" t="s">
        <v>139</v>
      </c>
      <c r="B4" s="10" t="s">
        <v>32</v>
      </c>
      <c r="C4" s="6" t="s">
        <v>140</v>
      </c>
      <c r="D4" s="8">
        <v>2</v>
      </c>
      <c r="E4" s="8">
        <v>6</v>
      </c>
      <c r="F4" s="8"/>
      <c r="G4" s="11">
        <f>F4/E4</f>
        <v>0</v>
      </c>
    </row>
    <row r="5" spans="1:8" ht="32" x14ac:dyDescent="0.2">
      <c r="A5" s="20"/>
      <c r="B5" s="10" t="s">
        <v>33</v>
      </c>
      <c r="C5" s="6" t="s">
        <v>141</v>
      </c>
      <c r="D5" s="12">
        <v>0.2</v>
      </c>
      <c r="E5" s="12">
        <v>0.5</v>
      </c>
      <c r="F5" s="8"/>
      <c r="G5" s="11">
        <f t="shared" ref="G5" si="0">F5/E5</f>
        <v>0</v>
      </c>
    </row>
    <row r="6" spans="1:8" ht="16" x14ac:dyDescent="0.2">
      <c r="A6" s="20"/>
      <c r="B6" s="10" t="s">
        <v>34</v>
      </c>
      <c r="C6" s="6" t="s">
        <v>142</v>
      </c>
      <c r="D6" s="8" t="s">
        <v>143</v>
      </c>
      <c r="E6" s="8" t="s">
        <v>144</v>
      </c>
      <c r="F6" s="8"/>
      <c r="G6" s="11">
        <f>IF(F6=D6,50%,IF(F6=E6,100%,))</f>
        <v>0</v>
      </c>
    </row>
    <row r="7" spans="1:8" ht="32" x14ac:dyDescent="0.2">
      <c r="A7" s="20"/>
      <c r="B7" s="10" t="s">
        <v>35</v>
      </c>
      <c r="C7" s="6" t="s">
        <v>146</v>
      </c>
      <c r="D7" s="8" t="s">
        <v>145</v>
      </c>
      <c r="E7" s="8" t="s">
        <v>145</v>
      </c>
      <c r="F7" s="8"/>
      <c r="G7" s="11">
        <f>IF(F7=D7,50%,IF(F7=E7,100%,))</f>
        <v>0</v>
      </c>
    </row>
    <row r="8" spans="1:8" ht="32" x14ac:dyDescent="0.2">
      <c r="A8" s="24" t="s">
        <v>147</v>
      </c>
      <c r="B8" s="10" t="s">
        <v>32</v>
      </c>
      <c r="C8" s="6" t="s">
        <v>148</v>
      </c>
      <c r="D8" s="8" t="s">
        <v>149</v>
      </c>
      <c r="E8" s="8" t="s">
        <v>149</v>
      </c>
      <c r="F8" s="8"/>
      <c r="G8" s="11">
        <f>IF(F8=D8,50%,IF(F8=E8,100%,))</f>
        <v>0</v>
      </c>
    </row>
    <row r="9" spans="1:8" ht="16" x14ac:dyDescent="0.2">
      <c r="A9" s="25"/>
      <c r="B9" s="10" t="s">
        <v>33</v>
      </c>
      <c r="C9" s="6" t="s">
        <v>150</v>
      </c>
      <c r="D9" s="8" t="s">
        <v>151</v>
      </c>
      <c r="E9" s="8" t="s">
        <v>151</v>
      </c>
      <c r="F9" s="8"/>
      <c r="G9" s="11">
        <f>IF(F9=D9,50%,IF(F9=E9,100%,))</f>
        <v>0</v>
      </c>
    </row>
    <row r="10" spans="1:8" ht="16" x14ac:dyDescent="0.2">
      <c r="A10" s="25"/>
      <c r="B10" s="10" t="s">
        <v>34</v>
      </c>
      <c r="C10" s="6" t="s">
        <v>152</v>
      </c>
      <c r="D10" s="8" t="s">
        <v>154</v>
      </c>
      <c r="E10" s="8" t="s">
        <v>154</v>
      </c>
      <c r="F10" s="8"/>
      <c r="G10" s="11">
        <f t="shared" ref="G10:G11" si="1">IF(F10=D10,50%,IF(F10=E10,100%,))</f>
        <v>0</v>
      </c>
    </row>
    <row r="11" spans="1:8" ht="32" x14ac:dyDescent="0.2">
      <c r="A11" s="26"/>
      <c r="B11" s="10" t="s">
        <v>35</v>
      </c>
      <c r="C11" s="6" t="s">
        <v>153</v>
      </c>
      <c r="D11" s="8" t="s">
        <v>155</v>
      </c>
      <c r="E11" s="8" t="s">
        <v>155</v>
      </c>
      <c r="F11" s="8"/>
      <c r="G11" s="11">
        <f t="shared" si="1"/>
        <v>0</v>
      </c>
    </row>
    <row r="12" spans="1:8" ht="32" x14ac:dyDescent="0.2">
      <c r="A12" s="24" t="s">
        <v>162</v>
      </c>
      <c r="B12" s="10" t="s">
        <v>32</v>
      </c>
      <c r="C12" s="6" t="s">
        <v>158</v>
      </c>
      <c r="D12" s="8" t="s">
        <v>160</v>
      </c>
      <c r="E12" s="8" t="s">
        <v>161</v>
      </c>
      <c r="F12" s="8"/>
      <c r="G12" s="11">
        <f>IF(F12=D12,50%,IF(F12=E12,100%,))</f>
        <v>0</v>
      </c>
    </row>
    <row r="13" spans="1:8" ht="16" x14ac:dyDescent="0.2">
      <c r="A13" s="26"/>
      <c r="B13" s="10" t="s">
        <v>33</v>
      </c>
      <c r="C13" s="6" t="s">
        <v>159</v>
      </c>
      <c r="D13" s="8" t="s">
        <v>160</v>
      </c>
      <c r="E13" s="8" t="s">
        <v>161</v>
      </c>
      <c r="F13" s="8"/>
      <c r="G13" s="11">
        <f>IF(F13=D13,50%,IF(F13=E13,100%,))</f>
        <v>0</v>
      </c>
    </row>
    <row r="14" spans="1:8" x14ac:dyDescent="0.2">
      <c r="A14" s="3"/>
      <c r="B14" s="3"/>
      <c r="C14" s="3"/>
      <c r="D14" s="3"/>
      <c r="E14" s="3"/>
      <c r="F14" s="3"/>
      <c r="G14" s="3"/>
    </row>
    <row r="15" spans="1:8" x14ac:dyDescent="0.2">
      <c r="A15" s="3"/>
      <c r="B15" s="3"/>
      <c r="C15" s="3"/>
      <c r="D15" s="3"/>
      <c r="E15" s="3"/>
      <c r="F15" s="3"/>
      <c r="G15" s="3"/>
    </row>
    <row r="16" spans="1:8" x14ac:dyDescent="0.2">
      <c r="A16" s="3"/>
      <c r="B16" s="3"/>
      <c r="C16" s="3"/>
      <c r="D16" s="3"/>
      <c r="E16" s="3"/>
      <c r="F16" s="3"/>
      <c r="G16" s="3"/>
    </row>
    <row r="17" s="3" customFormat="1" x14ac:dyDescent="0.2"/>
    <row r="18" s="3" customFormat="1" x14ac:dyDescent="0.2"/>
    <row r="19" s="3" customFormat="1" x14ac:dyDescent="0.2"/>
    <row r="20" s="3" customFormat="1" x14ac:dyDescent="0.2"/>
    <row r="21" s="3" customFormat="1" x14ac:dyDescent="0.2"/>
    <row r="22" s="3" customFormat="1" x14ac:dyDescent="0.2"/>
    <row r="23" s="3" customFormat="1" x14ac:dyDescent="0.2"/>
    <row r="24" s="3" customFormat="1" x14ac:dyDescent="0.2"/>
    <row r="25" s="3" customFormat="1" x14ac:dyDescent="0.2"/>
    <row r="26" s="3" customFormat="1" x14ac:dyDescent="0.2"/>
    <row r="27" s="3" customFormat="1" x14ac:dyDescent="0.2"/>
    <row r="28" s="3" customFormat="1" x14ac:dyDescent="0.2"/>
    <row r="29" s="3" customFormat="1" x14ac:dyDescent="0.2"/>
    <row r="30" s="3" customFormat="1" x14ac:dyDescent="0.2"/>
    <row r="31" s="3" customFormat="1" x14ac:dyDescent="0.2"/>
    <row r="32" s="3" customFormat="1" x14ac:dyDescent="0.2"/>
    <row r="33" spans="1:7" x14ac:dyDescent="0.2">
      <c r="A33" s="3"/>
      <c r="B33" s="3"/>
      <c r="C33" s="3"/>
      <c r="D33" s="3"/>
      <c r="E33" s="3"/>
      <c r="F33" s="3"/>
      <c r="G33" s="3"/>
    </row>
    <row r="34" spans="1:7" x14ac:dyDescent="0.2">
      <c r="A34" s="3"/>
      <c r="B34" s="3"/>
      <c r="C34" s="3"/>
      <c r="D34" s="3"/>
      <c r="E34" s="3"/>
      <c r="F34" s="3"/>
      <c r="G34" s="3"/>
    </row>
    <row r="35" spans="1:7" x14ac:dyDescent="0.2">
      <c r="A35" s="3"/>
    </row>
    <row r="36" spans="1:7" x14ac:dyDescent="0.2">
      <c r="A36" s="3"/>
    </row>
  </sheetData>
  <mergeCells count="10">
    <mergeCell ref="A12:A13"/>
    <mergeCell ref="A4:A7"/>
    <mergeCell ref="A8:A11"/>
    <mergeCell ref="A1:G1"/>
    <mergeCell ref="A2:A3"/>
    <mergeCell ref="B2:B3"/>
    <mergeCell ref="C2:C3"/>
    <mergeCell ref="D2:E2"/>
    <mergeCell ref="F2:F3"/>
    <mergeCell ref="G2:G3"/>
  </mergeCell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8"/>
  <sheetViews>
    <sheetView zoomScaleNormal="100" workbookViewId="0">
      <selection activeCell="D13" sqref="D13"/>
    </sheetView>
  </sheetViews>
  <sheetFormatPr baseColWidth="10" defaultColWidth="9.1640625" defaultRowHeight="15" x14ac:dyDescent="0.2"/>
  <cols>
    <col min="1" max="1" width="12.83203125" style="2" bestFit="1" customWidth="1"/>
    <col min="2" max="2" width="9.1640625" style="2" bestFit="1" customWidth="1"/>
    <col min="3" max="3" width="26.6640625" style="9" bestFit="1" customWidth="1"/>
    <col min="4" max="5" width="28.5" style="2" bestFit="1" customWidth="1"/>
    <col min="6" max="6" width="19.6640625" style="1" customWidth="1"/>
    <col min="7" max="7" width="14.5" style="1" bestFit="1" customWidth="1"/>
    <col min="8" max="16384" width="9.1640625" style="3"/>
  </cols>
  <sheetData>
    <row r="1" spans="1:8" x14ac:dyDescent="0.2">
      <c r="A1" s="19" t="s">
        <v>156</v>
      </c>
      <c r="B1" s="19"/>
      <c r="C1" s="19"/>
      <c r="D1" s="19"/>
      <c r="E1" s="19"/>
      <c r="F1" s="19"/>
      <c r="G1" s="19"/>
    </row>
    <row r="2" spans="1:8" s="4" customFormat="1" x14ac:dyDescent="0.2">
      <c r="A2" s="19" t="s">
        <v>4</v>
      </c>
      <c r="B2" s="19" t="s">
        <v>31</v>
      </c>
      <c r="C2" s="19" t="s">
        <v>6</v>
      </c>
      <c r="D2" s="19" t="s">
        <v>26</v>
      </c>
      <c r="E2" s="19"/>
      <c r="F2" s="19" t="s">
        <v>30</v>
      </c>
      <c r="G2" s="19" t="s">
        <v>27</v>
      </c>
      <c r="H2" s="2"/>
    </row>
    <row r="3" spans="1:8" x14ac:dyDescent="0.2">
      <c r="A3" s="19"/>
      <c r="B3" s="19"/>
      <c r="C3" s="19"/>
      <c r="D3" s="5" t="s">
        <v>28</v>
      </c>
      <c r="E3" s="5" t="s">
        <v>29</v>
      </c>
      <c r="F3" s="19"/>
      <c r="G3" s="19"/>
      <c r="H3" s="1"/>
    </row>
    <row r="4" spans="1:8" ht="32" x14ac:dyDescent="0.2">
      <c r="A4" s="20" t="s">
        <v>157</v>
      </c>
      <c r="B4" s="22" t="s">
        <v>32</v>
      </c>
      <c r="C4" s="6" t="s">
        <v>163</v>
      </c>
      <c r="D4" s="8" t="s">
        <v>164</v>
      </c>
      <c r="E4" s="8" t="s">
        <v>164</v>
      </c>
      <c r="F4" s="8"/>
      <c r="G4" s="11">
        <f t="shared" ref="G4:G9" si="0">IF(F4=D4,100%,IF(F4=E4,100%,))</f>
        <v>0</v>
      </c>
    </row>
    <row r="5" spans="1:8" ht="32" x14ac:dyDescent="0.2">
      <c r="A5" s="20"/>
      <c r="B5" s="27"/>
      <c r="C5" s="6" t="s">
        <v>163</v>
      </c>
      <c r="D5" s="8" t="s">
        <v>165</v>
      </c>
      <c r="E5" s="8" t="s">
        <v>165</v>
      </c>
      <c r="F5" s="8"/>
      <c r="G5" s="11">
        <f t="shared" si="0"/>
        <v>0</v>
      </c>
    </row>
    <row r="6" spans="1:8" ht="32" x14ac:dyDescent="0.2">
      <c r="A6" s="20"/>
      <c r="B6" s="23"/>
      <c r="C6" s="6" t="s">
        <v>163</v>
      </c>
      <c r="D6" s="8" t="s">
        <v>166</v>
      </c>
      <c r="E6" s="8" t="s">
        <v>166</v>
      </c>
      <c r="F6" s="8"/>
      <c r="G6" s="11">
        <f t="shared" si="0"/>
        <v>0</v>
      </c>
    </row>
    <row r="7" spans="1:8" ht="32" x14ac:dyDescent="0.2">
      <c r="A7" s="20"/>
      <c r="B7" s="22" t="s">
        <v>33</v>
      </c>
      <c r="C7" s="6" t="s">
        <v>167</v>
      </c>
      <c r="D7" s="8" t="s">
        <v>168</v>
      </c>
      <c r="E7" s="8" t="s">
        <v>168</v>
      </c>
      <c r="F7" s="8"/>
      <c r="G7" s="11">
        <f t="shared" si="0"/>
        <v>0</v>
      </c>
    </row>
    <row r="8" spans="1:8" ht="32" x14ac:dyDescent="0.2">
      <c r="A8" s="20"/>
      <c r="B8" s="27"/>
      <c r="C8" s="6" t="s">
        <v>167</v>
      </c>
      <c r="D8" s="8" t="s">
        <v>169</v>
      </c>
      <c r="E8" s="8" t="s">
        <v>169</v>
      </c>
      <c r="F8" s="8"/>
      <c r="G8" s="11">
        <f t="shared" si="0"/>
        <v>0</v>
      </c>
    </row>
    <row r="9" spans="1:8" ht="32" x14ac:dyDescent="0.2">
      <c r="A9" s="20"/>
      <c r="B9" s="23"/>
      <c r="C9" s="6" t="s">
        <v>167</v>
      </c>
      <c r="D9" s="8" t="s">
        <v>170</v>
      </c>
      <c r="E9" s="8" t="s">
        <v>170</v>
      </c>
      <c r="F9" s="8"/>
      <c r="G9" s="11">
        <f t="shared" si="0"/>
        <v>0</v>
      </c>
    </row>
    <row r="10" spans="1:8" x14ac:dyDescent="0.2">
      <c r="A10" s="3"/>
      <c r="B10" s="3"/>
      <c r="C10" s="3"/>
      <c r="D10" s="3"/>
      <c r="E10" s="3"/>
      <c r="F10" s="3"/>
      <c r="G10" s="3"/>
    </row>
    <row r="11" spans="1:8" x14ac:dyDescent="0.2">
      <c r="A11" s="3"/>
      <c r="B11" s="3"/>
      <c r="C11" s="3"/>
      <c r="D11" s="3"/>
      <c r="E11" s="3"/>
      <c r="F11" s="3"/>
      <c r="G11" s="3"/>
    </row>
    <row r="12" spans="1:8" x14ac:dyDescent="0.2">
      <c r="A12" s="3"/>
      <c r="B12" s="3"/>
      <c r="C12" s="3"/>
      <c r="D12" s="3"/>
      <c r="E12" s="3"/>
      <c r="F12" s="3"/>
      <c r="G12" s="3"/>
    </row>
    <row r="13" spans="1:8" x14ac:dyDescent="0.2">
      <c r="A13" s="3"/>
      <c r="B13" s="3"/>
      <c r="C13" s="3"/>
      <c r="D13" s="3"/>
      <c r="E13" s="3"/>
      <c r="F13" s="3"/>
      <c r="G13" s="3"/>
    </row>
    <row r="14" spans="1:8" x14ac:dyDescent="0.2">
      <c r="A14" s="3"/>
      <c r="B14" s="3"/>
      <c r="C14" s="3"/>
      <c r="D14" s="3"/>
      <c r="E14" s="3"/>
      <c r="F14" s="3"/>
      <c r="G14" s="3"/>
    </row>
    <row r="15" spans="1:8" x14ac:dyDescent="0.2">
      <c r="A15" s="3"/>
      <c r="B15" s="3"/>
      <c r="C15" s="3"/>
      <c r="D15" s="3"/>
      <c r="E15" s="3"/>
      <c r="F15" s="3"/>
      <c r="G15" s="3"/>
    </row>
    <row r="16" spans="1:8" x14ac:dyDescent="0.2">
      <c r="A16" s="3"/>
      <c r="B16" s="3"/>
      <c r="C16" s="3"/>
      <c r="D16" s="3"/>
      <c r="E16" s="3"/>
      <c r="F16" s="3"/>
      <c r="G16" s="3"/>
    </row>
    <row r="17" s="3" customFormat="1" x14ac:dyDescent="0.2"/>
    <row r="18" s="3" customFormat="1" x14ac:dyDescent="0.2"/>
    <row r="19" s="3" customFormat="1" x14ac:dyDescent="0.2"/>
    <row r="20" s="3" customFormat="1" x14ac:dyDescent="0.2"/>
    <row r="21" s="3" customFormat="1" x14ac:dyDescent="0.2"/>
    <row r="22" s="3" customFormat="1" x14ac:dyDescent="0.2"/>
    <row r="23" s="3" customFormat="1" x14ac:dyDescent="0.2"/>
    <row r="24" s="3" customFormat="1" x14ac:dyDescent="0.2"/>
    <row r="25" s="3" customFormat="1" x14ac:dyDescent="0.2"/>
    <row r="26" s="3" customFormat="1" x14ac:dyDescent="0.2"/>
    <row r="27" s="3" customFormat="1" x14ac:dyDescent="0.2"/>
    <row r="28" s="3" customFormat="1" x14ac:dyDescent="0.2"/>
    <row r="29" s="3" customFormat="1" x14ac:dyDescent="0.2"/>
    <row r="30" s="3" customFormat="1" x14ac:dyDescent="0.2"/>
    <row r="31" s="3" customFormat="1" x14ac:dyDescent="0.2"/>
    <row r="32" s="3" customFormat="1" x14ac:dyDescent="0.2"/>
    <row r="33" spans="1:7" x14ac:dyDescent="0.2">
      <c r="A33" s="3"/>
      <c r="B33" s="3"/>
      <c r="C33" s="3"/>
      <c r="D33" s="3"/>
      <c r="E33" s="3"/>
      <c r="F33" s="3"/>
      <c r="G33" s="3"/>
    </row>
    <row r="34" spans="1:7" x14ac:dyDescent="0.2">
      <c r="A34" s="3"/>
      <c r="B34" s="3"/>
      <c r="C34" s="3"/>
      <c r="D34" s="3"/>
      <c r="E34" s="3"/>
      <c r="F34" s="3"/>
      <c r="G34" s="3"/>
    </row>
    <row r="35" spans="1:7" x14ac:dyDescent="0.2">
      <c r="A35" s="3"/>
      <c r="B35" s="3"/>
      <c r="C35" s="3"/>
      <c r="D35" s="3"/>
      <c r="E35" s="3"/>
      <c r="F35" s="3"/>
      <c r="G35" s="3"/>
    </row>
    <row r="36" spans="1:7" x14ac:dyDescent="0.2">
      <c r="A36" s="3"/>
      <c r="B36" s="3"/>
      <c r="C36" s="3"/>
      <c r="D36" s="3"/>
      <c r="E36" s="3"/>
      <c r="F36" s="3"/>
      <c r="G36" s="3"/>
    </row>
    <row r="37" spans="1:7" x14ac:dyDescent="0.2">
      <c r="A37" s="3"/>
    </row>
    <row r="38" spans="1:7" x14ac:dyDescent="0.2">
      <c r="A38" s="3"/>
    </row>
  </sheetData>
  <mergeCells count="10">
    <mergeCell ref="B4:B6"/>
    <mergeCell ref="B7:B9"/>
    <mergeCell ref="A4:A9"/>
    <mergeCell ref="A1:G1"/>
    <mergeCell ref="A2:A3"/>
    <mergeCell ref="B2:B3"/>
    <mergeCell ref="C2:C3"/>
    <mergeCell ref="D2:E2"/>
    <mergeCell ref="F2:F3"/>
    <mergeCell ref="G2:G3"/>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8"/>
  <sheetViews>
    <sheetView zoomScaleNormal="100" workbookViewId="0">
      <selection activeCell="F8" sqref="F8"/>
    </sheetView>
  </sheetViews>
  <sheetFormatPr baseColWidth="10" defaultColWidth="9.1640625" defaultRowHeight="15" x14ac:dyDescent="0.2"/>
  <cols>
    <col min="1" max="1" width="12.83203125" style="2" bestFit="1" customWidth="1"/>
    <col min="2" max="2" width="9.1640625" style="2" bestFit="1" customWidth="1"/>
    <col min="3" max="3" width="24.83203125" style="9" bestFit="1" customWidth="1"/>
    <col min="4" max="5" width="28.5" style="2" bestFit="1" customWidth="1"/>
    <col min="6" max="6" width="19.6640625" style="1" customWidth="1"/>
    <col min="7" max="7" width="14.5" style="1" bestFit="1" customWidth="1"/>
    <col min="8" max="16384" width="9.1640625" style="3"/>
  </cols>
  <sheetData>
    <row r="1" spans="1:8" x14ac:dyDescent="0.2">
      <c r="A1" s="19" t="s">
        <v>171</v>
      </c>
      <c r="B1" s="19"/>
      <c r="C1" s="19"/>
      <c r="D1" s="19"/>
      <c r="E1" s="19"/>
      <c r="F1" s="19"/>
      <c r="G1" s="19"/>
    </row>
    <row r="2" spans="1:8" s="4" customFormat="1" x14ac:dyDescent="0.2">
      <c r="A2" s="19" t="s">
        <v>4</v>
      </c>
      <c r="B2" s="19" t="s">
        <v>31</v>
      </c>
      <c r="C2" s="19" t="s">
        <v>6</v>
      </c>
      <c r="D2" s="19" t="s">
        <v>26</v>
      </c>
      <c r="E2" s="19"/>
      <c r="F2" s="19" t="s">
        <v>30</v>
      </c>
      <c r="G2" s="19" t="s">
        <v>27</v>
      </c>
      <c r="H2" s="2"/>
    </row>
    <row r="3" spans="1:8" x14ac:dyDescent="0.2">
      <c r="A3" s="19"/>
      <c r="B3" s="19"/>
      <c r="C3" s="19"/>
      <c r="D3" s="5" t="s">
        <v>28</v>
      </c>
      <c r="E3" s="5" t="s">
        <v>29</v>
      </c>
      <c r="F3" s="19"/>
      <c r="G3" s="19"/>
      <c r="H3" s="1"/>
    </row>
    <row r="4" spans="1:8" ht="16" x14ac:dyDescent="0.2">
      <c r="A4" s="24" t="s">
        <v>172</v>
      </c>
      <c r="B4" s="10" t="s">
        <v>32</v>
      </c>
      <c r="C4" s="6" t="s">
        <v>173</v>
      </c>
      <c r="D4" s="8">
        <v>1</v>
      </c>
      <c r="E4" s="8">
        <v>1</v>
      </c>
      <c r="F4" s="8"/>
      <c r="G4" s="11">
        <f>F4/E4</f>
        <v>0</v>
      </c>
    </row>
    <row r="5" spans="1:8" ht="32" x14ac:dyDescent="0.2">
      <c r="A5" s="25"/>
      <c r="B5" s="10" t="s">
        <v>33</v>
      </c>
      <c r="C5" s="6" t="s">
        <v>174</v>
      </c>
      <c r="D5" s="12">
        <v>0.09</v>
      </c>
      <c r="E5" s="12">
        <v>0.09</v>
      </c>
      <c r="F5" s="8"/>
      <c r="G5" s="11">
        <f t="shared" ref="G5" si="0">F5/E5</f>
        <v>0</v>
      </c>
    </row>
    <row r="6" spans="1:8" ht="16" x14ac:dyDescent="0.2">
      <c r="A6" s="25"/>
      <c r="B6" s="10" t="s">
        <v>34</v>
      </c>
      <c r="C6" s="6" t="s">
        <v>175</v>
      </c>
      <c r="D6" s="8">
        <v>1</v>
      </c>
      <c r="E6" s="8">
        <v>1</v>
      </c>
      <c r="F6" s="8"/>
      <c r="G6" s="11">
        <f>F6/E6</f>
        <v>0</v>
      </c>
    </row>
    <row r="7" spans="1:8" ht="32" x14ac:dyDescent="0.2">
      <c r="A7" s="26"/>
      <c r="B7" s="10" t="s">
        <v>35</v>
      </c>
      <c r="C7" s="6" t="s">
        <v>176</v>
      </c>
      <c r="D7" s="12">
        <v>0.25</v>
      </c>
      <c r="E7" s="12">
        <v>0.25</v>
      </c>
      <c r="F7" s="8"/>
      <c r="G7" s="11">
        <f t="shared" ref="G7" si="1">F7/E7</f>
        <v>0</v>
      </c>
    </row>
    <row r="8" spans="1:8" ht="16" x14ac:dyDescent="0.2">
      <c r="A8" s="13" t="s">
        <v>177</v>
      </c>
      <c r="B8" s="10" t="s">
        <v>32</v>
      </c>
      <c r="C8" s="6" t="s">
        <v>179</v>
      </c>
      <c r="D8" s="8" t="s">
        <v>103</v>
      </c>
      <c r="E8" s="8" t="s">
        <v>180</v>
      </c>
      <c r="F8" s="8"/>
      <c r="G8" s="11">
        <f>IF(F8=D8,50%,IF(F8=E8,100%,))</f>
        <v>0</v>
      </c>
    </row>
    <row r="9" spans="1:8" ht="32" x14ac:dyDescent="0.2">
      <c r="A9" s="20" t="s">
        <v>178</v>
      </c>
      <c r="B9" s="10" t="s">
        <v>32</v>
      </c>
      <c r="C9" s="6" t="s">
        <v>181</v>
      </c>
      <c r="D9" s="12">
        <v>0.32</v>
      </c>
      <c r="E9" s="12">
        <v>0.36</v>
      </c>
      <c r="F9" s="8"/>
      <c r="G9" s="11">
        <f t="shared" ref="G9" si="2">F9/E9</f>
        <v>0</v>
      </c>
    </row>
    <row r="10" spans="1:8" ht="32" x14ac:dyDescent="0.2">
      <c r="A10" s="20"/>
      <c r="B10" s="10" t="s">
        <v>33</v>
      </c>
      <c r="C10" s="6" t="s">
        <v>182</v>
      </c>
      <c r="D10" s="12">
        <v>0.15</v>
      </c>
      <c r="E10" s="12">
        <v>0.18</v>
      </c>
      <c r="F10" s="8"/>
      <c r="G10" s="11">
        <f t="shared" ref="G10" si="3">F10/E10</f>
        <v>0</v>
      </c>
    </row>
    <row r="11" spans="1:8" ht="48" x14ac:dyDescent="0.2">
      <c r="A11" s="20"/>
      <c r="B11" s="10" t="s">
        <v>34</v>
      </c>
      <c r="C11" s="6" t="s">
        <v>183</v>
      </c>
      <c r="D11" s="12">
        <v>0.5</v>
      </c>
      <c r="E11" s="12">
        <v>0.55000000000000004</v>
      </c>
      <c r="F11" s="8"/>
      <c r="G11" s="11">
        <f t="shared" ref="G11:G13" si="4">F11/E11</f>
        <v>0</v>
      </c>
    </row>
    <row r="12" spans="1:8" ht="32" x14ac:dyDescent="0.2">
      <c r="A12" s="20" t="s">
        <v>184</v>
      </c>
      <c r="B12" s="10" t="s">
        <v>32</v>
      </c>
      <c r="C12" s="6" t="s">
        <v>185</v>
      </c>
      <c r="D12" s="8" t="s">
        <v>103</v>
      </c>
      <c r="E12" s="8" t="s">
        <v>180</v>
      </c>
      <c r="F12" s="8"/>
      <c r="G12" s="11">
        <f>IF(F12=D12,50%,IF(F12=E12,100%,))</f>
        <v>0</v>
      </c>
    </row>
    <row r="13" spans="1:8" ht="48" x14ac:dyDescent="0.2">
      <c r="A13" s="20"/>
      <c r="B13" s="10" t="s">
        <v>33</v>
      </c>
      <c r="C13" s="6" t="s">
        <v>186</v>
      </c>
      <c r="D13" s="12">
        <v>1</v>
      </c>
      <c r="E13" s="12">
        <v>1</v>
      </c>
      <c r="F13" s="8"/>
      <c r="G13" s="11">
        <f t="shared" si="4"/>
        <v>0</v>
      </c>
    </row>
    <row r="14" spans="1:8" ht="32" x14ac:dyDescent="0.2">
      <c r="A14" s="20"/>
      <c r="B14" s="10" t="s">
        <v>34</v>
      </c>
      <c r="C14" s="6" t="s">
        <v>187</v>
      </c>
      <c r="D14" s="12">
        <v>1</v>
      </c>
      <c r="E14" s="12">
        <v>1</v>
      </c>
      <c r="F14" s="8"/>
      <c r="G14" s="11">
        <f t="shared" ref="G14" si="5">F14/E14</f>
        <v>0</v>
      </c>
    </row>
    <row r="15" spans="1:8" x14ac:dyDescent="0.2">
      <c r="A15" s="3"/>
      <c r="B15" s="3"/>
      <c r="C15" s="3"/>
      <c r="D15" s="3"/>
      <c r="E15" s="3"/>
      <c r="F15" s="3"/>
      <c r="G15" s="3"/>
    </row>
    <row r="16" spans="1:8" x14ac:dyDescent="0.2">
      <c r="A16" s="3"/>
      <c r="B16" s="3"/>
      <c r="C16" s="3"/>
      <c r="D16" s="3"/>
      <c r="E16" s="3"/>
      <c r="F16" s="3"/>
      <c r="G16" s="3"/>
    </row>
    <row r="17" s="3" customFormat="1" x14ac:dyDescent="0.2"/>
    <row r="18" s="3" customFormat="1" x14ac:dyDescent="0.2"/>
    <row r="19" s="3" customFormat="1" x14ac:dyDescent="0.2"/>
    <row r="20" s="3" customFormat="1" x14ac:dyDescent="0.2"/>
    <row r="21" s="3" customFormat="1" x14ac:dyDescent="0.2"/>
    <row r="22" s="3" customFormat="1" x14ac:dyDescent="0.2"/>
    <row r="23" s="3" customFormat="1" x14ac:dyDescent="0.2"/>
    <row r="24" s="3" customFormat="1" x14ac:dyDescent="0.2"/>
    <row r="25" s="3" customFormat="1" x14ac:dyDescent="0.2"/>
    <row r="26" s="3" customFormat="1" x14ac:dyDescent="0.2"/>
    <row r="27" s="3" customFormat="1" x14ac:dyDescent="0.2"/>
    <row r="28" s="3" customFormat="1" x14ac:dyDescent="0.2"/>
    <row r="29" s="3" customFormat="1" x14ac:dyDescent="0.2"/>
    <row r="30" s="3" customFormat="1" x14ac:dyDescent="0.2"/>
    <row r="31" s="3" customFormat="1" x14ac:dyDescent="0.2"/>
    <row r="32" s="3" customFormat="1" x14ac:dyDescent="0.2"/>
    <row r="33" spans="1:7" x14ac:dyDescent="0.2">
      <c r="A33" s="3"/>
      <c r="B33" s="3"/>
      <c r="C33" s="3"/>
      <c r="D33" s="3"/>
      <c r="E33" s="3"/>
      <c r="F33" s="3"/>
      <c r="G33" s="3"/>
    </row>
    <row r="34" spans="1:7" x14ac:dyDescent="0.2">
      <c r="A34" s="3"/>
      <c r="B34" s="3"/>
      <c r="C34" s="3"/>
      <c r="D34" s="3"/>
      <c r="E34" s="3"/>
      <c r="F34" s="3"/>
      <c r="G34" s="3"/>
    </row>
    <row r="35" spans="1:7" x14ac:dyDescent="0.2">
      <c r="A35" s="3"/>
      <c r="B35" s="3"/>
      <c r="C35" s="3"/>
      <c r="D35" s="3"/>
      <c r="E35" s="3"/>
      <c r="F35" s="3"/>
      <c r="G35" s="3"/>
    </row>
    <row r="36" spans="1:7" x14ac:dyDescent="0.2">
      <c r="A36" s="3"/>
      <c r="B36" s="3"/>
      <c r="C36" s="3"/>
      <c r="D36" s="3"/>
      <c r="E36" s="3"/>
      <c r="F36" s="3"/>
      <c r="G36" s="3"/>
    </row>
    <row r="37" spans="1:7" x14ac:dyDescent="0.2">
      <c r="A37" s="3"/>
    </row>
    <row r="38" spans="1:7" x14ac:dyDescent="0.2">
      <c r="A38" s="3"/>
    </row>
  </sheetData>
  <mergeCells count="10">
    <mergeCell ref="A12:A14"/>
    <mergeCell ref="A4:A7"/>
    <mergeCell ref="A9:A11"/>
    <mergeCell ref="A1:G1"/>
    <mergeCell ref="A2:A3"/>
    <mergeCell ref="B2:B3"/>
    <mergeCell ref="C2:C3"/>
    <mergeCell ref="D2:E2"/>
    <mergeCell ref="F2:F3"/>
    <mergeCell ref="G2:G3"/>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Guide</vt:lpstr>
      <vt:lpstr>R</vt:lpstr>
      <vt:lpstr>I</vt:lpstr>
      <vt:lpstr>S</vt:lpstr>
      <vt:lpstr>E</vt:lpstr>
      <vt:lpstr>N</vt:lpstr>
      <vt:lpstr>U</vt:lpstr>
      <vt:lpstr>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Bonnie Glenn Moraca</cp:lastModifiedBy>
  <dcterms:created xsi:type="dcterms:W3CDTF">2025-08-12T02:07:55Z</dcterms:created>
  <dcterms:modified xsi:type="dcterms:W3CDTF">2025-09-08T07:19:09Z</dcterms:modified>
</cp:coreProperties>
</file>